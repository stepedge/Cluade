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arget List" sheetId="2" state="visible" r:id="rId2"/>
  </sheets>
  <definedNames>
    <definedName name="_xlnm._FilterDatabase" localSheetId="1" hidden="1">'Target List'!$A$1:$Q$60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color rgb="000000FF"/>
      <sz val="10"/>
    </font>
    <font>
      <name val="Arial"/>
      <color rgb="000563C1"/>
      <sz val="10"/>
      <u val="single"/>
    </font>
    <font>
      <name val="Arial"/>
      <b val="1"/>
      <sz val="14"/>
    </font>
    <font>
      <name val="Arial"/>
      <i val="1"/>
      <sz val="9"/>
    </font>
    <font>
      <name val="Arial"/>
      <b val="1"/>
    </font>
    <font>
      <name val="Arial"/>
    </font>
    <font>
      <name val="Arial"/>
      <color rgb="00008000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4213D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0" fontId="3" fillId="3" borderId="0" applyAlignment="1" pivotButton="0" quotePrefix="0" xfId="0">
      <alignment vertical="top"/>
    </xf>
    <xf numFmtId="164" fontId="3" fillId="3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yorkshirepost.co.uk/business/yorks-47-skin-only-yorkshire-company-to-make-sunday-times-top-100-fastest-growing-list-5198508" TargetMode="External" Id="rId1" /><Relationship Type="http://schemas.openxmlformats.org/officeDocument/2006/relationships/hyperlink" Target="https://anna.money/blog/updates/anna-sunday-times-100-tech-list-2026/" TargetMode="External" Id="rId2" /><Relationship Type="http://schemas.openxmlformats.org/officeDocument/2006/relationships/hyperlink" Target="https://www.drapersonline.com/news/uk-athleisure-brands-make-sunday-times-100-list" TargetMode="External" Id="rId3" /><Relationship Type="http://schemas.openxmlformats.org/officeDocument/2006/relationships/hyperlink" Target="https://talents.studysmarter.co.uk/companies/adanola/part-time-customer-service-advisor-13805938/" TargetMode="External" Id="rId4" /><Relationship Type="http://schemas.openxmlformats.org/officeDocument/2006/relationships/hyperlink" Target="https://www.finsmes.com/2026/05/adfin-raises-18m-in-series-a-funding.html" TargetMode="External" Id="rId5" /><Relationship Type="http://schemas.openxmlformats.org/officeDocument/2006/relationships/hyperlink" Target="https://byradiant.com/blog/sunday-times-100-analysis-fastest-growing-uk-brands" TargetMode="External" Id="rId6" /><Relationship Type="http://schemas.openxmlformats.org/officeDocument/2006/relationships/hyperlink" Target="https://www.manchesterworld.uk/news/the-north-wests-fastest-growing-companies-according-to-the-sunday-times-including-capo-montirex-plouise-5195087" TargetMode="External" Id="rId7" /><Relationship Type="http://schemas.openxmlformats.org/officeDocument/2006/relationships/hyperlink" Target="https://bayesentrepreneurship.fund/news/2025/6/27/coat-paints-in-the-sunday-times-100-britains-fastest-growing-private-companies" TargetMode="External" Id="rId8" /><Relationship Type="http://schemas.openxmlformats.org/officeDocument/2006/relationships/hyperlink" Target="https://businesscloud.co.uk/news/glasgows-dfyne-tops-sunday-times-hundred-2025/" TargetMode="External" Id="rId9" /><Relationship Type="http://schemas.openxmlformats.org/officeDocument/2006/relationships/hyperlink" Target="https://www.theindustry.fashion/scottish-activewear-brand-dfyne-tops-the-sunday-times-hundred-list/" TargetMode="External" Id="rId10" /><Relationship Type="http://schemas.openxmlformats.org/officeDocument/2006/relationships/hyperlink" Target="https://www.northumberlandgazette.co.uk/news/people/the-sunday-times-100-fastest-growing-private-companies-northumberland-fashion-brand-disturbia-climbs-up-the-list-5197896" TargetMode="External" Id="rId11" /><Relationship Type="http://schemas.openxmlformats.org/officeDocument/2006/relationships/hyperlink" Target="https://byradiant.com/blog/sunday-times-100-analysis-fastest-growing-uk-brands" TargetMode="External" Id="rId12" /><Relationship Type="http://schemas.openxmlformats.org/officeDocument/2006/relationships/hyperlink" Target="https://businesscloud.co.uk/news/the-sunday-times-100-revealed-for-2026/" TargetMode="External" Id="rId13" /><Relationship Type="http://schemas.openxmlformats.org/officeDocument/2006/relationships/hyperlink" Target="https://www.uktech.news/funding/happl-raises-over-8m-to-accelerate-global-employee-benefits-system-20260513" TargetMode="External" Id="rId14" /><Relationship Type="http://schemas.openxmlformats.org/officeDocument/2006/relationships/hyperlink" Target="https://www.finsmes.com/2026/08/healf-raises-funding.html" TargetMode="External" Id="rId15" /><Relationship Type="http://schemas.openxmlformats.org/officeDocument/2006/relationships/hyperlink" Target="https://retailtimes.co.uk/real-food-and-supplements-brand-hunter-gather-makes-it-into-the-sunday-times-100/" TargetMode="External" Id="rId16" /><Relationship Type="http://schemas.openxmlformats.org/officeDocument/2006/relationships/hyperlink" Target="https://businesscloud.co.uk/news/the-sunday-times-100-revealed-for-2026/" TargetMode="External" Id="rId17" /><Relationship Type="http://schemas.openxmlformats.org/officeDocument/2006/relationships/hyperlink" Target="https://www.drapersonline.com/news/nobodys-child-odd-muse-and-montirex-among-fastest-growing-uk-companies" TargetMode="External" Id="rId18" /><Relationship Type="http://schemas.openxmlformats.org/officeDocument/2006/relationships/hyperlink" Target="https://novomins.com/blogs/news/novomins-sunday-times-top-100" TargetMode="External" Id="rId19" /><Relationship Type="http://schemas.openxmlformats.org/officeDocument/2006/relationships/hyperlink" Target="https://www.drapersonline.com/news/nobodys-child-odd-muse-and-montirex-among-fastest-growing-uk-companies" TargetMode="External" Id="rId20" /><Relationship Type="http://schemas.openxmlformats.org/officeDocument/2006/relationships/hyperlink" Target="https://theindustry.beauty/beauty-brands-p-louise-and-refy-make-list-of-the-fastest-growing-businesses-in-britain/" TargetMode="External" Id="rId21" /><Relationship Type="http://schemas.openxmlformats.org/officeDocument/2006/relationships/hyperlink" Target="https://www.drapersonline.com/news/uk-athleisure-brands-make-sunday-times-100-list" TargetMode="External" Id="rId22" /><Relationship Type="http://schemas.openxmlformats.org/officeDocument/2006/relationships/hyperlink" Target="https://www.nutraingredients.com/Article/2026/06/09/health-and-wellness-brands-take-center-stage-on-times-100-list/" TargetMode="External" Id="rId23" /><Relationship Type="http://schemas.openxmlformats.org/officeDocument/2006/relationships/hyperlink" Target="https://theindustry.beauty/beauty-brands-p-louise-and-refy-make-list-of-the-fastest-growing-businesses-in-britain/" TargetMode="External" Id="rId24" /><Relationship Type="http://schemas.openxmlformats.org/officeDocument/2006/relationships/hyperlink" Target="https://www.finsmes.com/2026/10/revnu-raises-e2-6m-in-funding.html" TargetMode="External" Id="rId25" /><Relationship Type="http://schemas.openxmlformats.org/officeDocument/2006/relationships/hyperlink" Target="https://bdaily.co.uk/articles/2025/06/29/rheal-ranks-in-uks-fastest-100" TargetMode="External" Id="rId26" /><Relationship Type="http://schemas.openxmlformats.org/officeDocument/2006/relationships/hyperlink" Target="https://riskledger.com/resources/uk-fast-50-2025" TargetMode="External" Id="rId27" /><Relationship Type="http://schemas.openxmlformats.org/officeDocument/2006/relationships/hyperlink" Target="https://www.businesswire.com/news/home/20260127240240/en/Summize-Raises-%2450-Million-to-Accelerate-Global-Expansion-and-Advance-AI-Contract-Intelligence" TargetMode="External" Id="rId28" /><Relationship Type="http://schemas.openxmlformats.org/officeDocument/2006/relationships/hyperlink" Target="https://www.drapersonline.com/news/uk-athleisure-brands-make-sunday-times-100-list" TargetMode="External" Id="rId29" /><Relationship Type="http://schemas.openxmlformats.org/officeDocument/2006/relationships/hyperlink" Target="https://www.prnewswire.com/news-releases/trybe-announces-30m-series-a-investment-from-five-elms-capital-302658132.html" TargetMode="External" Id="rId30" /><Relationship Type="http://schemas.openxmlformats.org/officeDocument/2006/relationships/hyperlink" Target="https://www.insidermedia.com/news/national/the-sunday-times-names-uks-100-fastest-growing-tech-companies-for-2026" TargetMode="External" Id="rId31" /><Relationship Type="http://schemas.openxmlformats.org/officeDocument/2006/relationships/hyperlink" Target="https://www.nutraingredients.com/Article/2026/06/09/health-and-wellness-brands-take-center-stage-on-times-100-list/" TargetMode="External" Id="rId32" /><Relationship Type="http://schemas.openxmlformats.org/officeDocument/2006/relationships/hyperlink" Target="https://www.finsmes.com/2026/04/wamo-raises-e10m-in-series-a-funding.html" TargetMode="External" Id="rId33" /><Relationship Type="http://schemas.openxmlformats.org/officeDocument/2006/relationships/hyperlink" Target="https://www.glassdoor.com/Job/gorgias-jobs-SRCH_IC2671300_KO0,7.htm" TargetMode="External" Id="rId34" /><Relationship Type="http://schemas.openxmlformats.org/officeDocument/2006/relationships/hyperlink" Target="https://www.barchart.com/story/news/35993388/city-unscripted-ranked-5th-fastestgrowing-technology-company-in-the-uk-in-the-2025-deloitte-uk-technology-fast-50" TargetMode="External" Id="rId35" /><Relationship Type="http://schemas.openxmlformats.org/officeDocument/2006/relationships/hyperlink" Target="https://www.deloitte.com/uk/en/about/press-room/journee-tops-deloitte-uk-technology-fast-50-ranking.html" TargetMode="External" Id="rId36" /><Relationship Type="http://schemas.openxmlformats.org/officeDocument/2006/relationships/hyperlink" Target="https://www.lendingcrowd.com/blog/2025-deloitte-technology-fast-50" TargetMode="External" Id="rId37" /><Relationship Type="http://schemas.openxmlformats.org/officeDocument/2006/relationships/hyperlink" Target="https://tech.eu/2026/01/28/modern-milkman-lands-ps10m-to-scale-its-doorstep-delivery-model/" TargetMode="External" Id="rId38" /><Relationship Type="http://schemas.openxmlformats.org/officeDocument/2006/relationships/hyperlink" Target="https://www.totaljobs.com/jobs/montirex?page=1&amp;cmp=1" TargetMode="External" Id="rId39" /><Relationship Type="http://schemas.openxmlformats.org/officeDocument/2006/relationships/hyperlink" Target="https://businesscloud.co.uk/news/the-sunday-times-100-revealed-for-2026/" TargetMode="External" Id="rId40" /><Relationship Type="http://schemas.openxmlformats.org/officeDocument/2006/relationships/hyperlink" Target="https://tech.eu/2026/01/07/e-commerce-operating-startup-swap-raises-100m/" TargetMode="External" Id="rId41" /><Relationship Type="http://schemas.openxmlformats.org/officeDocument/2006/relationships/hyperlink" Target="https://www.prnewswire.com/news-releases/apploi-ranked-no-288-fastest-growing-company-on-the-2025-deloitte-technology-fast-500-302620432.html" TargetMode="External" Id="rId42" /><Relationship Type="http://schemas.openxmlformats.org/officeDocument/2006/relationships/hyperlink" Target="https://www.finsmes.com/2026/09/atomic-raises-12-5m-in-series-a-funding.html" TargetMode="External" Id="rId43" /><Relationship Type="http://schemas.openxmlformats.org/officeDocument/2006/relationships/hyperlink" Target="https://www.inc.com/profile/kimberlee-vaccarella" TargetMode="External" Id="rId44" /><Relationship Type="http://schemas.openxmlformats.org/officeDocument/2006/relationships/hyperlink" Target="https://www.builtinnyc.com/articles/these-nyc-companies-made-inc-5000" TargetMode="External" Id="rId45" /><Relationship Type="http://schemas.openxmlformats.org/officeDocument/2006/relationships/hyperlink" Target="https://www.zendesk.com/blog/industries/brooklinen-industry-going-direct-consumer/" TargetMode="External" Id="rId46" /><Relationship Type="http://schemas.openxmlformats.org/officeDocument/2006/relationships/hyperlink" Target="https://njbiz.com/nj-companies-2026-inc-5000/" TargetMode="External" Id="rId47" /><Relationship Type="http://schemas.openxmlformats.org/officeDocument/2006/relationships/hyperlink" Target="https://www.morningstar.com/news/business-wire/20260401050420/american-pacific-group-announces-investment-in-dossier" TargetMode="External" Id="rId48" /><Relationship Type="http://schemas.openxmlformats.org/officeDocument/2006/relationships/hyperlink" Target="https://www.tryglimpse.com/post/seriesa" TargetMode="External" Id="rId49" /><Relationship Type="http://schemas.openxmlformats.org/officeDocument/2006/relationships/hyperlink" Target="https://insideretail.asia/2025/12/16/how-graza-became-a-48-million-olive-oil-brand-stocked-by-whole-foods-and-target/" TargetMode="External" Id="rId50" /><Relationship Type="http://schemas.openxmlformats.org/officeDocument/2006/relationships/hyperlink" Target="https://finance.yahoo.com/news/hr-acuity-named-2025-deloitte-133100302.html" TargetMode="External" Id="rId51" /><Relationship Type="http://schemas.openxmlformats.org/officeDocument/2006/relationships/hyperlink" Target="https://profiles.crustdata.com/company/jones-road-beauty" TargetMode="External" Id="rId52" /><Relationship Type="http://schemas.openxmlformats.org/officeDocument/2006/relationships/hyperlink" Target="https://www.globenewswire.com/news-release/2026/06/23/3316215/0/en/probook-raises-40m-from-andreessen-horowitz-and-sequoia-to-scale-the-ai-operating-system-for-home-services.html" TargetMode="External" Id="rId53" /><Relationship Type="http://schemas.openxmlformats.org/officeDocument/2006/relationships/hyperlink" Target="https://www.globenewswire.com/news-release/2026/07/28/3334213/0/en/sent-raises-12m-series-a-to-supercharge-ai-messaging-infrastructure.html" TargetMode="External" Id="rId54" /><Relationship Type="http://schemas.openxmlformats.org/officeDocument/2006/relationships/hyperlink" Target="https://aboutmanchester.co.uk/six-stories-announced-as-the-first-bridal-brand-in-the-sunday-times-100-fastest-growing-companies-for-2024/" TargetMode="External" Id="rId55" /><Relationship Type="http://schemas.openxmlformats.org/officeDocument/2006/relationships/hyperlink" Target="https://www.retaildive.com/news/direct-to-consumer-brand-caraway-raises-35-million/632993/" TargetMode="External" Id="rId56" /><Relationship Type="http://schemas.openxmlformats.org/officeDocument/2006/relationships/hyperlink" Target="https://www.modernretail.co/operations/dtc-baby-brand-lalo-raises-10-1m-series-a/" TargetMode="External" Id="rId57" /><Relationship Type="http://schemas.openxmlformats.org/officeDocument/2006/relationships/hyperlink" Target="https://en.wikipedia.org/wiki/Magic_Spoon" TargetMode="External" Id="rId58" /><Relationship Type="http://schemas.openxmlformats.org/officeDocument/2006/relationships/hyperlink" Target="https://www.builtinnyc.com/articles/these-nyc-companies-made-inc-5000" TargetMode="External" Id="rId5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</cols>
  <sheetData>
    <row r="1">
      <c r="A1" s="1" t="inlineStr">
        <is>
          <t>StepEdge CX – Target Client List</t>
        </is>
      </c>
    </row>
    <row r="2">
      <c r="A2" s="2" t="inlineStr">
        <is>
          <t>59 real companies found via web search (Oct 2026). Signals are from search results; verify each before outreach.</t>
        </is>
      </c>
    </row>
    <row r="4">
      <c r="A4" s="3" t="inlineStr">
        <is>
          <t>Breakdown</t>
        </is>
      </c>
    </row>
    <row r="5">
      <c r="A5" s="4" t="inlineStr">
        <is>
          <t>Total companies</t>
        </is>
      </c>
      <c r="B5" s="5">
        <f>COUNTA('Target List'!C2:C60)</f>
        <v/>
      </c>
    </row>
    <row r="6">
      <c r="A6" s="4" t="inlineStr">
        <is>
          <t>UK</t>
        </is>
      </c>
      <c r="B6" s="5">
        <f>COUNTIF('Target List'!E2:E60,"UK")</f>
        <v/>
      </c>
    </row>
    <row r="7">
      <c r="A7" s="4" t="inlineStr">
        <is>
          <t>US</t>
        </is>
      </c>
      <c r="B7" s="5">
        <f>COUNTIF('Target List'!E2:E60,"US")</f>
        <v/>
      </c>
    </row>
    <row r="8">
      <c r="A8" s="4" t="inlineStr">
        <is>
          <t>Priority A</t>
        </is>
      </c>
      <c r="B8" s="5">
        <f>COUNTIF('Target List'!B2:B60,"A")</f>
        <v/>
      </c>
    </row>
    <row r="9">
      <c r="A9" s="4" t="inlineStr">
        <is>
          <t>Priority B</t>
        </is>
      </c>
      <c r="B9" s="5">
        <f>COUNTIF('Target List'!B2:B60,"B")</f>
        <v/>
      </c>
    </row>
    <row r="10">
      <c r="A10" s="4" t="inlineStr">
        <is>
          <t>Priority C</t>
        </is>
      </c>
      <c r="B10" s="5">
        <f>COUNTIF('Target List'!B2:B60,"C")</f>
        <v/>
      </c>
    </row>
    <row r="11">
      <c r="A11" s="4" t="inlineStr">
        <is>
          <t>E-commerce/D2C</t>
        </is>
      </c>
      <c r="B11" s="5">
        <f>COUNTIF('Target List'!G2:G60,"E-commerce/D2C")</f>
        <v/>
      </c>
    </row>
    <row r="12">
      <c r="A12" s="4" t="inlineStr">
        <is>
          <t>SaaS</t>
        </is>
      </c>
      <c r="B12" s="5">
        <f>COUNTIF('Target List'!G2:G60,"SaaS")</f>
        <v/>
      </c>
    </row>
    <row r="13">
      <c r="A13" s="4" t="inlineStr">
        <is>
          <t>Subscription</t>
        </is>
      </c>
      <c r="B13" s="5">
        <f>COUNTIF('Target List'!G2:G60,"Subscription")</f>
        <v/>
      </c>
    </row>
    <row r="14">
      <c r="A14" s="4" t="inlineStr">
        <is>
          <t>Other</t>
        </is>
      </c>
      <c r="B14" s="5">
        <f>COUNTIF('Target List'!G2:G60,"Other")</f>
        <v/>
      </c>
    </row>
    <row r="16">
      <c r="A16" s="3" t="inlineStr">
        <is>
          <t>Pipeline</t>
        </is>
      </c>
    </row>
    <row r="17">
      <c r="A17" s="4" t="inlineStr">
        <is>
          <t>Not contacted</t>
        </is>
      </c>
      <c r="B17" s="5">
        <f>COUNTIF('Target List'!O2:O60,"Not contacted")</f>
        <v/>
      </c>
    </row>
    <row r="18">
      <c r="A18" s="4" t="inlineStr">
        <is>
          <t>Contacted</t>
        </is>
      </c>
      <c r="B18" s="5">
        <f>COUNTIF('Target List'!O2:O60,"Contacted")</f>
        <v/>
      </c>
    </row>
    <row r="19">
      <c r="A19" s="4" t="inlineStr">
        <is>
          <t>Replied</t>
        </is>
      </c>
      <c r="B19" s="5">
        <f>COUNTIF('Target List'!O2:O60,"Replied")</f>
        <v/>
      </c>
    </row>
    <row r="20">
      <c r="A20" s="4" t="inlineStr">
        <is>
          <t>Call booked</t>
        </is>
      </c>
      <c r="B20" s="5">
        <f>COUNTIF('Target List'!O2:O60,"Call booked")</f>
        <v/>
      </c>
    </row>
    <row r="21">
      <c r="A21" s="4" t="inlineStr">
        <is>
          <t>Proposal sent</t>
        </is>
      </c>
      <c r="B21" s="5">
        <f>COUNTIF('Target List'!O2:O60,"Proposal sent")</f>
        <v/>
      </c>
    </row>
    <row r="22">
      <c r="A22" s="4" t="inlineStr">
        <is>
          <t>Pilot won</t>
        </is>
      </c>
      <c r="B22" s="5">
        <f>COUNTIF('Target List'!O2:O60,"Pilot won")</f>
        <v/>
      </c>
    </row>
    <row r="23">
      <c r="A23" s="4" t="inlineStr">
        <is>
          <t>Not a fit</t>
        </is>
      </c>
      <c r="B23" s="5">
        <f>COUNTIF('Target List'!O2:O60,"Not a fit")</f>
        <v/>
      </c>
    </row>
    <row r="24">
      <c r="A24" s="4" t="inlineStr">
        <is>
          <t>Opted out</t>
        </is>
      </c>
      <c r="B24" s="5">
        <f>COUNTIF('Target List'!O2:O60,"Opted out")</f>
        <v/>
      </c>
    </row>
    <row r="26">
      <c r="A26" s="6" t="inlineStr">
        <is>
          <t>How to use</t>
        </is>
      </c>
    </row>
    <row r="27">
      <c r="A27" s="7" t="inlineStr">
        <is>
          <t>1. Work Priority A first (UK e-commerce and SaaS with 2025–26 signals), then B, then C.</t>
        </is>
      </c>
    </row>
    <row r="28">
      <c r="A28" s="7" t="inlineStr">
        <is>
          <t>2. Before contacting: confirm the website, check the "Verify before outreach" column, and find the named decision maker on LinkedIn.</t>
        </is>
      </c>
    </row>
    <row r="29">
      <c r="A29" s="7" t="inlineStr">
        <is>
          <t>3. Fill the yellow cells (contact, LinkedIn/email, status, next action date). Status uses a dropdown.</t>
        </is>
      </c>
    </row>
    <row r="30">
      <c r="A30" s="7" t="inlineStr">
        <is>
          <t>4. Priority rules: A = UK e-commerce/SaaS; B = US, other segments, or may be too large; C = signal older than 2025.</t>
        </is>
      </c>
    </row>
    <row r="31">
      <c r="A31" s="7" t="inlineStr">
        <is>
          <t>5. Respect opt-outs: set Status to "Opted out" and never contact again (UK PECR/GDPR, US CAN-SPAM).</t>
        </is>
      </c>
    </row>
    <row r="32">
      <c r="A32" s="7" t="inlineStr">
        <is>
          <t>Caveats: many source pages could not be opened during research; list years for some UK brands and most website domains are unconfirmed; employee counts are mostly unknown.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22" customWidth="1" min="3" max="3"/>
    <col width="22" customWidth="1" min="4" max="4"/>
    <col width="8" customWidth="1" min="5" max="5"/>
    <col width="12" customWidth="1" min="6" max="6"/>
    <col width="15" customWidth="1" min="7" max="7"/>
    <col width="10" customWidth="1" min="8" max="8"/>
    <col width="48" customWidth="1" min="9" max="9"/>
    <col width="28" customWidth="1" min="10" max="10"/>
    <col width="30" customWidth="1" min="11" max="11"/>
    <col width="32" customWidth="1" min="12" max="12"/>
    <col width="18" customWidth="1" min="13" max="13"/>
    <col width="24" customWidth="1" min="14" max="14"/>
    <col width="15" customWidth="1" min="15" max="15"/>
    <col width="13" customWidth="1" min="16" max="16"/>
    <col width="30" customWidth="1" min="17" max="17"/>
  </cols>
  <sheetData>
    <row r="1">
      <c r="A1" s="8" t="inlineStr">
        <is>
          <t>#</t>
        </is>
      </c>
      <c r="B1" s="8" t="inlineStr">
        <is>
          <t>Priority</t>
        </is>
      </c>
      <c r="C1" s="8" t="inlineStr">
        <is>
          <t>Company</t>
        </is>
      </c>
      <c r="D1" s="8" t="inlineStr">
        <is>
          <t>Website</t>
        </is>
      </c>
      <c r="E1" s="8" t="inlineStr">
        <is>
          <t>Country</t>
        </is>
      </c>
      <c r="F1" s="8" t="inlineStr">
        <is>
          <t>City</t>
        </is>
      </c>
      <c r="G1" s="8" t="inlineStr">
        <is>
          <t>Segment</t>
        </is>
      </c>
      <c r="H1" s="8" t="inlineStr">
        <is>
          <t>Employees</t>
        </is>
      </c>
      <c r="I1" s="8" t="inlineStr">
        <is>
          <t>Why they fit (signal)</t>
        </is>
      </c>
      <c r="J1" s="8" t="inlineStr">
        <is>
          <t>Who to approach</t>
        </is>
      </c>
      <c r="K1" s="8" t="inlineStr">
        <is>
          <t>Source</t>
        </is>
      </c>
      <c r="L1" s="8" t="inlineStr">
        <is>
          <t>Verify before outreach</t>
        </is>
      </c>
      <c r="M1" s="8" t="inlineStr">
        <is>
          <t>Contact name</t>
        </is>
      </c>
      <c r="N1" s="8" t="inlineStr">
        <is>
          <t>LinkedIn / email</t>
        </is>
      </c>
      <c r="O1" s="8" t="inlineStr">
        <is>
          <t>Status</t>
        </is>
      </c>
      <c r="P1" s="8" t="inlineStr">
        <is>
          <t>Next action date</t>
        </is>
      </c>
      <c r="Q1" s="8" t="inlineStr">
        <is>
          <t>Notes</t>
        </is>
      </c>
    </row>
    <row r="2">
      <c r="A2" s="9" t="n">
        <v>1</v>
      </c>
      <c r="B2" s="9" t="inlineStr">
        <is>
          <t>A</t>
        </is>
      </c>
      <c r="C2" s="9" t="inlineStr">
        <is>
          <t>47 Skin</t>
        </is>
      </c>
      <c r="D2" s="9" t="inlineStr">
        <is>
          <t>47skin.com</t>
        </is>
      </c>
      <c r="E2" s="9" t="inlineStr">
        <is>
          <t>UK</t>
        </is>
      </c>
      <c r="F2" s="9" t="inlineStr">
        <is>
          <t>York</t>
        </is>
      </c>
      <c r="G2" s="9" t="inlineStr">
        <is>
          <t>E-commerce/D2C</t>
        </is>
      </c>
      <c r="H2" s="9" t="inlineStr"/>
      <c r="I2" s="10" t="inlineStr">
        <is>
          <t>Sunday Times 100 two years running (#55, £10.6m revenue, +84%)</t>
        </is>
      </c>
      <c r="J2" s="10" t="inlineStr">
        <is>
          <t>Founder / Head of Customer Experience</t>
        </is>
      </c>
      <c r="K2" s="11" t="inlineStr">
        <is>
          <t>https://www.yorkshirepost.co.uk/business/yorks-47-skin-only-yorkshire-company-to-make-sunday-times-top-100-fastest-growing-list-5198508</t>
        </is>
      </c>
      <c r="L2" s="10" t="inlineStr">
        <is>
          <t>Confirm website; Verify list year</t>
        </is>
      </c>
      <c r="M2" s="12" t="inlineStr"/>
      <c r="N2" s="12" t="inlineStr"/>
      <c r="O2" s="12" t="inlineStr">
        <is>
          <t>Not contacted</t>
        </is>
      </c>
      <c r="P2" s="13" t="n"/>
      <c r="Q2" s="10" t="inlineStr"/>
    </row>
    <row r="3">
      <c r="A3" s="9" t="n">
        <v>2</v>
      </c>
      <c r="B3" s="9" t="inlineStr">
        <is>
          <t>A</t>
        </is>
      </c>
      <c r="C3" s="9" t="inlineStr">
        <is>
          <t>ANNA Money</t>
        </is>
      </c>
      <c r="D3" s="9" t="inlineStr">
        <is>
          <t>anna.money</t>
        </is>
      </c>
      <c r="E3" s="9" t="inlineStr">
        <is>
          <t>UK</t>
        </is>
      </c>
      <c r="F3" s="9" t="inlineStr">
        <is>
          <t>London</t>
        </is>
      </c>
      <c r="G3" s="9" t="inlineStr">
        <is>
          <t>SaaS</t>
        </is>
      </c>
      <c r="H3" s="9" t="inlineStr"/>
      <c r="I3" s="10" t="inlineStr">
        <is>
          <t>On Sunday Times 100 Tech 2026 (SMB business account/admin app)</t>
        </is>
      </c>
      <c r="J3" s="10" t="inlineStr">
        <is>
          <t>Head of Customer Support / VP Customer Success / COO</t>
        </is>
      </c>
      <c r="K3" s="11" t="inlineStr">
        <is>
          <t>https://anna.money/blog/updates/anna-sunday-times-100-tech-list-2026/</t>
        </is>
      </c>
      <c r="L3" s="10" t="inlineStr">
        <is>
          <t>Confirm website</t>
        </is>
      </c>
      <c r="M3" s="12" t="inlineStr"/>
      <c r="N3" s="12" t="inlineStr"/>
      <c r="O3" s="12" t="inlineStr">
        <is>
          <t>Not contacted</t>
        </is>
      </c>
      <c r="P3" s="13" t="n"/>
      <c r="Q3" s="10" t="inlineStr"/>
    </row>
    <row r="4">
      <c r="A4" s="9" t="n">
        <v>3</v>
      </c>
      <c r="B4" s="9" t="inlineStr">
        <is>
          <t>A</t>
        </is>
      </c>
      <c r="C4" s="9" t="inlineStr">
        <is>
          <t>AYBL</t>
        </is>
      </c>
      <c r="D4" s="9" t="inlineStr">
        <is>
          <t>aybl.com</t>
        </is>
      </c>
      <c r="E4" s="9" t="inlineStr">
        <is>
          <t>UK</t>
        </is>
      </c>
      <c r="F4" s="9" t="inlineStr"/>
      <c r="G4" s="9" t="inlineStr">
        <is>
          <t>E-commerce/D2C</t>
        </is>
      </c>
      <c r="H4" s="9" t="inlineStr"/>
      <c r="I4" s="10" t="inlineStr">
        <is>
          <t>#100 on Sunday Times 100 (activewear)</t>
        </is>
      </c>
      <c r="J4" s="10" t="inlineStr">
        <is>
          <t>Head of Customer Experience / COO</t>
        </is>
      </c>
      <c r="K4" s="11" t="inlineStr">
        <is>
          <t>https://www.drapersonline.com/news/uk-athleisure-brands-make-sunday-times-100-list</t>
        </is>
      </c>
      <c r="L4" s="10" t="inlineStr">
        <is>
          <t>Confirm website; Verify list year</t>
        </is>
      </c>
      <c r="M4" s="12" t="inlineStr"/>
      <c r="N4" s="12" t="inlineStr"/>
      <c r="O4" s="12" t="inlineStr">
        <is>
          <t>Not contacted</t>
        </is>
      </c>
      <c r="P4" s="13" t="n"/>
      <c r="Q4" s="10" t="inlineStr"/>
    </row>
    <row r="5">
      <c r="A5" s="9" t="n">
        <v>4</v>
      </c>
      <c r="B5" s="9" t="inlineStr">
        <is>
          <t>A</t>
        </is>
      </c>
      <c r="C5" s="9" t="inlineStr">
        <is>
          <t>Adanola</t>
        </is>
      </c>
      <c r="D5" s="9" t="inlineStr">
        <is>
          <t>adanola.com</t>
        </is>
      </c>
      <c r="E5" s="9" t="inlineStr">
        <is>
          <t>UK</t>
        </is>
      </c>
      <c r="F5" s="9" t="inlineStr">
        <is>
          <t>Manchester</t>
        </is>
      </c>
      <c r="G5" s="9" t="inlineStr">
        <is>
          <t>E-commerce/D2C</t>
        </is>
      </c>
      <c r="H5" s="9" t="inlineStr"/>
      <c r="I5" s="10" t="inlineStr">
        <is>
          <t>Sunday Times 100 fastest-growing (ranked 7th, 202% CAGR); hiring Customer Service Advisor in Manchester</t>
        </is>
      </c>
      <c r="J5" s="10" t="inlineStr">
        <is>
          <t>Head of Customer Experience / COO</t>
        </is>
      </c>
      <c r="K5" s="11" t="inlineStr">
        <is>
          <t>https://talents.studysmarter.co.uk/companies/adanola/part-time-customer-service-advisor-13805938/</t>
        </is>
      </c>
      <c r="L5" s="10" t="inlineStr">
        <is>
          <t>Confirm website; Verify list year; Check job ad still open</t>
        </is>
      </c>
      <c r="M5" s="12" t="inlineStr"/>
      <c r="N5" s="12" t="inlineStr"/>
      <c r="O5" s="12" t="inlineStr">
        <is>
          <t>Not contacted</t>
        </is>
      </c>
      <c r="P5" s="13" t="n"/>
      <c r="Q5" s="10" t="inlineStr"/>
    </row>
    <row r="6">
      <c r="A6" s="9" t="n">
        <v>5</v>
      </c>
      <c r="B6" s="9" t="inlineStr">
        <is>
          <t>A</t>
        </is>
      </c>
      <c r="C6" s="9" t="inlineStr">
        <is>
          <t>Adfin</t>
        </is>
      </c>
      <c r="D6" s="9" t="inlineStr">
        <is>
          <t>adfin.com</t>
        </is>
      </c>
      <c r="E6" s="9" t="inlineStr">
        <is>
          <t>UK</t>
        </is>
      </c>
      <c r="F6" s="9" t="inlineStr">
        <is>
          <t>London</t>
        </is>
      </c>
      <c r="G6" s="9" t="inlineStr">
        <is>
          <t>SaaS</t>
        </is>
      </c>
      <c r="H6" s="9" t="inlineStr"/>
      <c r="I6" s="10" t="inlineStr">
        <is>
          <t>Raised $18M Series A (Index Ventures) May 2026; serves SMBs, accountants, trades</t>
        </is>
      </c>
      <c r="J6" s="10" t="inlineStr">
        <is>
          <t>Head of Customer Support / VP Customer Success / COO</t>
        </is>
      </c>
      <c r="K6" s="11" t="inlineStr">
        <is>
          <t>https://www.finsmes.com/2026/05/adfin-raises-18m-in-series-a-funding.html</t>
        </is>
      </c>
      <c r="L6" s="10" t="inlineStr">
        <is>
          <t>Confirm website</t>
        </is>
      </c>
      <c r="M6" s="12" t="inlineStr"/>
      <c r="N6" s="12" t="inlineStr"/>
      <c r="O6" s="12" t="inlineStr">
        <is>
          <t>Not contacted</t>
        </is>
      </c>
      <c r="P6" s="13" t="n"/>
      <c r="Q6" s="10" t="inlineStr"/>
    </row>
    <row r="7">
      <c r="A7" s="9" t="n">
        <v>6</v>
      </c>
      <c r="B7" s="9" t="inlineStr">
        <is>
          <t>A</t>
        </is>
      </c>
      <c r="C7" s="9" t="inlineStr">
        <is>
          <t>Ancient + Brave</t>
        </is>
      </c>
      <c r="D7" s="9" t="inlineStr">
        <is>
          <t>ancientandbrave.earth</t>
        </is>
      </c>
      <c r="E7" s="9" t="inlineStr">
        <is>
          <t>UK</t>
        </is>
      </c>
      <c r="F7" s="9" t="inlineStr"/>
      <c r="G7" s="9" t="inlineStr">
        <is>
          <t>E-commerce/D2C</t>
        </is>
      </c>
      <c r="H7" s="9" t="inlineStr"/>
      <c r="I7" s="10" t="inlineStr">
        <is>
          <t>Named in Sunday Times 100 wellness cohort (collagen/supplements)</t>
        </is>
      </c>
      <c r="J7" s="10" t="inlineStr">
        <is>
          <t>Founder / Head of Customer Experience</t>
        </is>
      </c>
      <c r="K7" s="11" t="inlineStr">
        <is>
          <t>https://byradiant.com/blog/sunday-times-100-analysis-fastest-growing-uk-brands</t>
        </is>
      </c>
      <c r="L7" s="10" t="inlineStr">
        <is>
          <t>Confirm website; Verify list year</t>
        </is>
      </c>
      <c r="M7" s="12" t="inlineStr"/>
      <c r="N7" s="12" t="inlineStr"/>
      <c r="O7" s="12" t="inlineStr">
        <is>
          <t>Not contacted</t>
        </is>
      </c>
      <c r="P7" s="13" t="n"/>
      <c r="Q7" s="10" t="inlineStr"/>
    </row>
    <row r="8">
      <c r="A8" s="9" t="n">
        <v>7</v>
      </c>
      <c r="B8" s="9" t="inlineStr">
        <is>
          <t>A</t>
        </is>
      </c>
      <c r="C8" s="9" t="inlineStr">
        <is>
          <t>CAPO</t>
        </is>
      </c>
      <c r="D8" s="9" t="inlineStr">
        <is>
          <t>capo.co.uk</t>
        </is>
      </c>
      <c r="E8" s="9" t="inlineStr">
        <is>
          <t>UK</t>
        </is>
      </c>
      <c r="F8" s="9" t="inlineStr"/>
      <c r="G8" s="9" t="inlineStr">
        <is>
          <t>E-commerce/D2C</t>
        </is>
      </c>
      <c r="H8" s="9" t="inlineStr"/>
      <c r="I8" s="10" t="inlineStr">
        <is>
          <t>#7 on Sunday Times 100 2025 (£12.5m sales, 192% growth); North West based</t>
        </is>
      </c>
      <c r="J8" s="10" t="inlineStr">
        <is>
          <t>Founder / COO</t>
        </is>
      </c>
      <c r="K8" s="11" t="inlineStr">
        <is>
          <t>https://www.manchesterworld.uk/news/the-north-wests-fastest-growing-companies-according-to-the-sunday-times-including-capo-montirex-plouise-5195087</t>
        </is>
      </c>
      <c r="L8" s="10" t="inlineStr">
        <is>
          <t>Confirm website</t>
        </is>
      </c>
      <c r="M8" s="12" t="inlineStr"/>
      <c r="N8" s="12" t="inlineStr"/>
      <c r="O8" s="12" t="inlineStr">
        <is>
          <t>Not contacted</t>
        </is>
      </c>
      <c r="P8" s="13" t="n"/>
      <c r="Q8" s="10" t="inlineStr"/>
    </row>
    <row r="9">
      <c r="A9" s="9" t="n">
        <v>8</v>
      </c>
      <c r="B9" s="9" t="inlineStr">
        <is>
          <t>A</t>
        </is>
      </c>
      <c r="C9" s="9" t="inlineStr">
        <is>
          <t>COAT Paints</t>
        </is>
      </c>
      <c r="D9" s="9" t="inlineStr">
        <is>
          <t>coatpaints.com</t>
        </is>
      </c>
      <c r="E9" s="9" t="inlineStr">
        <is>
          <t>UK</t>
        </is>
      </c>
      <c r="F9" s="9" t="inlineStr">
        <is>
          <t>London</t>
        </is>
      </c>
      <c r="G9" s="9" t="inlineStr">
        <is>
          <t>E-commerce/D2C</t>
        </is>
      </c>
      <c r="H9" s="9" t="inlineStr"/>
      <c r="I9" s="10" t="inlineStr">
        <is>
          <t>On Sunday Times 100 2025 (D2C premium paint)</t>
        </is>
      </c>
      <c r="J9" s="10" t="inlineStr">
        <is>
          <t>Founder / COO</t>
        </is>
      </c>
      <c r="K9" s="11" t="inlineStr">
        <is>
          <t>https://bayesentrepreneurship.fund/news/2025/6/27/coat-paints-in-the-sunday-times-100-britains-fastest-growing-private-companies</t>
        </is>
      </c>
      <c r="L9" s="10" t="inlineStr">
        <is>
          <t>Confirm website</t>
        </is>
      </c>
      <c r="M9" s="12" t="inlineStr"/>
      <c r="N9" s="12" t="inlineStr"/>
      <c r="O9" s="12" t="inlineStr">
        <is>
          <t>Not contacted</t>
        </is>
      </c>
      <c r="P9" s="13" t="n"/>
      <c r="Q9" s="10" t="inlineStr"/>
    </row>
    <row r="10">
      <c r="A10" s="9" t="n">
        <v>9</v>
      </c>
      <c r="B10" s="9" t="inlineStr">
        <is>
          <t>A</t>
        </is>
      </c>
      <c r="C10" s="9" t="inlineStr">
        <is>
          <t>Club L London</t>
        </is>
      </c>
      <c r="D10" s="9" t="inlineStr">
        <is>
          <t>clubllondon.com</t>
        </is>
      </c>
      <c r="E10" s="9" t="inlineStr">
        <is>
          <t>UK</t>
        </is>
      </c>
      <c r="F10" s="9" t="inlineStr">
        <is>
          <t>London</t>
        </is>
      </c>
      <c r="G10" s="9" t="inlineStr">
        <is>
          <t>E-commerce/D2C</t>
        </is>
      </c>
      <c r="H10" s="9" t="inlineStr"/>
      <c r="I10" s="10" t="inlineStr">
        <is>
          <t>#86 on Sunday Times 100 2025 (£44m turnover, +51% YoY, international expansion)</t>
        </is>
      </c>
      <c r="J10" s="10" t="inlineStr">
        <is>
          <t>Head of Customer Experience / COO</t>
        </is>
      </c>
      <c r="K10" s="11" t="inlineStr">
        <is>
          <t>https://businesscloud.co.uk/news/glasgows-dfyne-tops-sunday-times-hundred-2025/</t>
        </is>
      </c>
      <c r="L10" s="10" t="inlineStr">
        <is>
          <t>Confirm website</t>
        </is>
      </c>
      <c r="M10" s="12" t="inlineStr"/>
      <c r="N10" s="12" t="inlineStr"/>
      <c r="O10" s="12" t="inlineStr">
        <is>
          <t>Not contacted</t>
        </is>
      </c>
      <c r="P10" s="13" t="n"/>
      <c r="Q10" s="10" t="inlineStr"/>
    </row>
    <row r="11">
      <c r="A11" s="9" t="n">
        <v>10</v>
      </c>
      <c r="B11" s="9" t="inlineStr">
        <is>
          <t>A</t>
        </is>
      </c>
      <c r="C11" s="9" t="inlineStr">
        <is>
          <t>DFYNE</t>
        </is>
      </c>
      <c r="D11" s="9" t="inlineStr">
        <is>
          <t>dfyne.com</t>
        </is>
      </c>
      <c r="E11" s="9" t="inlineStr">
        <is>
          <t>UK</t>
        </is>
      </c>
      <c r="F11" s="9" t="inlineStr">
        <is>
          <t>Glasgow</t>
        </is>
      </c>
      <c r="G11" s="9" t="inlineStr">
        <is>
          <t>E-commerce/D2C</t>
        </is>
      </c>
      <c r="H11" s="9" t="inlineStr"/>
      <c r="I11" s="10" t="inlineStr">
        <is>
          <t>#1 on Sunday Times 100 2025 (517% CAGR, £66.8m sales)</t>
        </is>
      </c>
      <c r="J11" s="10" t="inlineStr">
        <is>
          <t>Head of Customer Experience / COO</t>
        </is>
      </c>
      <c r="K11" s="11" t="inlineStr">
        <is>
          <t>https://www.theindustry.fashion/scottish-activewear-brand-dfyne-tops-the-sunday-times-hundred-list/</t>
        </is>
      </c>
      <c r="L11" s="10" t="inlineStr">
        <is>
          <t>Confirm website</t>
        </is>
      </c>
      <c r="M11" s="12" t="inlineStr"/>
      <c r="N11" s="12" t="inlineStr"/>
      <c r="O11" s="12" t="inlineStr">
        <is>
          <t>Not contacted</t>
        </is>
      </c>
      <c r="P11" s="13" t="n"/>
      <c r="Q11" s="10" t="inlineStr"/>
    </row>
    <row r="12">
      <c r="A12" s="9" t="n">
        <v>11</v>
      </c>
      <c r="B12" s="9" t="inlineStr">
        <is>
          <t>A</t>
        </is>
      </c>
      <c r="C12" s="9" t="inlineStr">
        <is>
          <t>Disturbia</t>
        </is>
      </c>
      <c r="D12" s="9" t="inlineStr">
        <is>
          <t>disturbia.co.uk</t>
        </is>
      </c>
      <c r="E12" s="9" t="inlineStr">
        <is>
          <t>UK</t>
        </is>
      </c>
      <c r="F12" s="9" t="inlineStr">
        <is>
          <t>Cramlington</t>
        </is>
      </c>
      <c r="G12" s="9" t="inlineStr">
        <is>
          <t>E-commerce/D2C</t>
        </is>
      </c>
      <c r="H12" s="9" t="inlineStr"/>
      <c r="I12" s="10" t="inlineStr">
        <is>
          <t>#54 on Sunday Times 100 (womenswear, £35.1m sales)</t>
        </is>
      </c>
      <c r="J12" s="10" t="inlineStr">
        <is>
          <t>Head of Customer Experience / COO</t>
        </is>
      </c>
      <c r="K12" s="11" t="inlineStr">
        <is>
          <t>https://www.northumberlandgazette.co.uk/news/people/the-sunday-times-100-fastest-growing-private-companies-northumberland-fashion-brand-disturbia-climbs-up-the-list-5197896</t>
        </is>
      </c>
      <c r="L12" s="10" t="inlineStr">
        <is>
          <t>Confirm website; Verify list year</t>
        </is>
      </c>
      <c r="M12" s="12" t="inlineStr"/>
      <c r="N12" s="12" t="inlineStr"/>
      <c r="O12" s="12" t="inlineStr">
        <is>
          <t>Not contacted</t>
        </is>
      </c>
      <c r="P12" s="13" t="n"/>
      <c r="Q12" s="10" t="inlineStr"/>
    </row>
    <row r="13">
      <c r="A13" s="9" t="n">
        <v>12</v>
      </c>
      <c r="B13" s="9" t="inlineStr">
        <is>
          <t>A</t>
        </is>
      </c>
      <c r="C13" s="9" t="inlineStr">
        <is>
          <t>EverySkin</t>
        </is>
      </c>
      <c r="D13" s="9" t="inlineStr"/>
      <c r="E13" s="9" t="inlineStr">
        <is>
          <t>UK</t>
        </is>
      </c>
      <c r="F13" s="9" t="inlineStr"/>
      <c r="G13" s="9" t="inlineStr">
        <is>
          <t>E-commerce/D2C</t>
        </is>
      </c>
      <c r="H13" s="9" t="inlineStr"/>
      <c r="I13" s="10" t="inlineStr">
        <is>
          <t>Named in Sunday Times 100 2026 (skincare)</t>
        </is>
      </c>
      <c r="J13" s="10" t="inlineStr">
        <is>
          <t>Founder / COO</t>
        </is>
      </c>
      <c r="K13" s="11" t="inlineStr">
        <is>
          <t>https://byradiant.com/blog/sunday-times-100-analysis-fastest-growing-uk-brands</t>
        </is>
      </c>
      <c r="L13" s="10" t="inlineStr">
        <is>
          <t>Find website; Verify list year</t>
        </is>
      </c>
      <c r="M13" s="12" t="inlineStr"/>
      <c r="N13" s="12" t="inlineStr"/>
      <c r="O13" s="12" t="inlineStr">
        <is>
          <t>Not contacted</t>
        </is>
      </c>
      <c r="P13" s="13" t="n"/>
      <c r="Q13" s="10" t="inlineStr"/>
    </row>
    <row r="14">
      <c r="A14" s="9" t="n">
        <v>13</v>
      </c>
      <c r="B14" s="9" t="inlineStr">
        <is>
          <t>A</t>
        </is>
      </c>
      <c r="C14" s="9" t="inlineStr">
        <is>
          <t>Free Soul</t>
        </is>
      </c>
      <c r="D14" s="9" t="inlineStr">
        <is>
          <t>wearefreesoul.com</t>
        </is>
      </c>
      <c r="E14" s="9" t="inlineStr">
        <is>
          <t>UK</t>
        </is>
      </c>
      <c r="F14" s="9" t="inlineStr"/>
      <c r="G14" s="9" t="inlineStr">
        <is>
          <t>E-commerce/D2C</t>
        </is>
      </c>
      <c r="H14" s="9" t="inlineStr"/>
      <c r="I14" s="10" t="inlineStr">
        <is>
          <t>On Sunday Times 100 2026 (210% annual sales growth; women's health supplements)</t>
        </is>
      </c>
      <c r="J14" s="10" t="inlineStr">
        <is>
          <t>Founder / COO</t>
        </is>
      </c>
      <c r="K14" s="11" t="inlineStr">
        <is>
          <t>https://businesscloud.co.uk/news/the-sunday-times-100-revealed-for-2026/</t>
        </is>
      </c>
      <c r="L14" s="10" t="inlineStr">
        <is>
          <t>Confirm website</t>
        </is>
      </c>
      <c r="M14" s="12" t="inlineStr"/>
      <c r="N14" s="12" t="inlineStr"/>
      <c r="O14" s="12" t="inlineStr">
        <is>
          <t>Not contacted</t>
        </is>
      </c>
      <c r="P14" s="13" t="n"/>
      <c r="Q14" s="10" t="inlineStr"/>
    </row>
    <row r="15">
      <c r="A15" s="9" t="n">
        <v>14</v>
      </c>
      <c r="B15" s="9" t="inlineStr">
        <is>
          <t>A</t>
        </is>
      </c>
      <c r="C15" s="9" t="inlineStr">
        <is>
          <t>Happl</t>
        </is>
      </c>
      <c r="D15" s="9" t="inlineStr">
        <is>
          <t>happl.com</t>
        </is>
      </c>
      <c r="E15" s="9" t="inlineStr">
        <is>
          <t>UK</t>
        </is>
      </c>
      <c r="F15" s="9" t="inlineStr">
        <is>
          <t>Manchester</t>
        </is>
      </c>
      <c r="G15" s="9" t="inlineStr">
        <is>
          <t>SaaS</t>
        </is>
      </c>
      <c r="H15" s="9" t="inlineStr"/>
      <c r="I15" s="10" t="inlineStr">
        <is>
          <t>Raised £8.1m Series A (Portage) May 2026; team expansion UK and US</t>
        </is>
      </c>
      <c r="J15" s="10" t="inlineStr">
        <is>
          <t>Head of Customer Support / VP Customer Success / COO</t>
        </is>
      </c>
      <c r="K15" s="11" t="inlineStr">
        <is>
          <t>https://www.uktech.news/funding/happl-raises-over-8m-to-accelerate-global-employee-benefits-system-20260513</t>
        </is>
      </c>
      <c r="L15" s="10" t="inlineStr">
        <is>
          <t>Confirm website</t>
        </is>
      </c>
      <c r="M15" s="12" t="inlineStr"/>
      <c r="N15" s="12" t="inlineStr"/>
      <c r="O15" s="12" t="inlineStr">
        <is>
          <t>Not contacted</t>
        </is>
      </c>
      <c r="P15" s="13" t="n"/>
      <c r="Q15" s="10" t="inlineStr"/>
    </row>
    <row r="16">
      <c r="A16" s="9" t="n">
        <v>15</v>
      </c>
      <c r="B16" s="9" t="inlineStr">
        <is>
          <t>A</t>
        </is>
      </c>
      <c r="C16" s="9" t="inlineStr">
        <is>
          <t>Healf</t>
        </is>
      </c>
      <c r="D16" s="9" t="inlineStr">
        <is>
          <t>healf.com</t>
        </is>
      </c>
      <c r="E16" s="9" t="inlineStr">
        <is>
          <t>UK</t>
        </is>
      </c>
      <c r="F16" s="9" t="inlineStr">
        <is>
          <t>London</t>
        </is>
      </c>
      <c r="G16" s="9" t="inlineStr">
        <is>
          <t>E-commerce/D2C</t>
        </is>
      </c>
      <c r="H16" s="9" t="inlineStr"/>
      <c r="I16" s="10" t="inlineStr">
        <is>
          <t>Raised funding Aug 2026 (SEMCAP lead); £0-£35m in 2.5 yrs; hires Customer Experience/Wellbeing Executives (phone/email/chat)</t>
        </is>
      </c>
      <c r="J16" s="10" t="inlineStr">
        <is>
          <t>Head of Customer Experience / COO</t>
        </is>
      </c>
      <c r="K16" s="11" t="inlineStr">
        <is>
          <t>https://www.finsmes.com/2026/08/healf-raises-funding.html</t>
        </is>
      </c>
      <c r="L16" s="10" t="inlineStr">
        <is>
          <t>Confirm website</t>
        </is>
      </c>
      <c r="M16" s="12" t="inlineStr"/>
      <c r="N16" s="12" t="inlineStr"/>
      <c r="O16" s="12" t="inlineStr">
        <is>
          <t>Not contacted</t>
        </is>
      </c>
      <c r="P16" s="13" t="n"/>
      <c r="Q16" s="10" t="inlineStr"/>
    </row>
    <row r="17">
      <c r="A17" s="9" t="n">
        <v>16</v>
      </c>
      <c r="B17" s="9" t="inlineStr">
        <is>
          <t>A</t>
        </is>
      </c>
      <c r="C17" s="9" t="inlineStr">
        <is>
          <t>Hunter &amp; Gather</t>
        </is>
      </c>
      <c r="D17" s="9" t="inlineStr">
        <is>
          <t>hunterandgatherfoods.com</t>
        </is>
      </c>
      <c r="E17" s="9" t="inlineStr">
        <is>
          <t>UK</t>
        </is>
      </c>
      <c r="F17" s="9" t="inlineStr"/>
      <c r="G17" s="9" t="inlineStr">
        <is>
          <t>E-commerce/D2C</t>
        </is>
      </c>
      <c r="H17" s="9" t="inlineStr"/>
      <c r="I17" s="10" t="inlineStr">
        <is>
          <t>#85 on Sunday Times 100 2025 (£16.6m sales; up from #97)</t>
        </is>
      </c>
      <c r="J17" s="10" t="inlineStr">
        <is>
          <t>Founder / COO</t>
        </is>
      </c>
      <c r="K17" s="11" t="inlineStr">
        <is>
          <t>https://retailtimes.co.uk/real-food-and-supplements-brand-hunter-gather-makes-it-into-the-sunday-times-100/</t>
        </is>
      </c>
      <c r="L17" s="10" t="inlineStr">
        <is>
          <t>Confirm website</t>
        </is>
      </c>
      <c r="M17" s="12" t="inlineStr"/>
      <c r="N17" s="12" t="inlineStr"/>
      <c r="O17" s="12" t="inlineStr">
        <is>
          <t>Not contacted</t>
        </is>
      </c>
      <c r="P17" s="13" t="n"/>
      <c r="Q17" s="10" t="inlineStr"/>
    </row>
    <row r="18">
      <c r="A18" s="9" t="n">
        <v>17</v>
      </c>
      <c r="B18" s="9" t="inlineStr">
        <is>
          <t>A</t>
        </is>
      </c>
      <c r="C18" s="9" t="inlineStr">
        <is>
          <t>Lucky Egg</t>
        </is>
      </c>
      <c r="D18" s="9" t="inlineStr"/>
      <c r="E18" s="9" t="inlineStr">
        <is>
          <t>UK</t>
        </is>
      </c>
      <c r="F18" s="9" t="inlineStr"/>
      <c r="G18" s="9" t="inlineStr">
        <is>
          <t>E-commerce/D2C</t>
        </is>
      </c>
      <c r="H18" s="9" t="inlineStr"/>
      <c r="I18" s="10" t="inlineStr">
        <is>
          <t>#2 on Sunday Times 100 2026 (board games maker, ~300% growth, £16.3m sales)</t>
        </is>
      </c>
      <c r="J18" s="10" t="inlineStr">
        <is>
          <t>Founder / COO</t>
        </is>
      </c>
      <c r="K18" s="11" t="inlineStr">
        <is>
          <t>https://businesscloud.co.uk/news/the-sunday-times-100-revealed-for-2026/</t>
        </is>
      </c>
      <c r="L18" s="10" t="inlineStr">
        <is>
          <t>Find website</t>
        </is>
      </c>
      <c r="M18" s="12" t="inlineStr"/>
      <c r="N18" s="12" t="inlineStr"/>
      <c r="O18" s="12" t="inlineStr">
        <is>
          <t>Not contacted</t>
        </is>
      </c>
      <c r="P18" s="13" t="n"/>
      <c r="Q18" s="10" t="inlineStr"/>
    </row>
    <row r="19">
      <c r="A19" s="9" t="n">
        <v>18</v>
      </c>
      <c r="B19" s="9" t="inlineStr">
        <is>
          <t>A</t>
        </is>
      </c>
      <c r="C19" s="9" t="inlineStr">
        <is>
          <t>Nobody's Child</t>
        </is>
      </c>
      <c r="D19" s="9" t="inlineStr">
        <is>
          <t>nobodyschild.com</t>
        </is>
      </c>
      <c r="E19" s="9" t="inlineStr">
        <is>
          <t>UK</t>
        </is>
      </c>
      <c r="F19" s="9" t="inlineStr">
        <is>
          <t>London</t>
        </is>
      </c>
      <c r="G19" s="9" t="inlineStr">
        <is>
          <t>E-commerce/D2C</t>
        </is>
      </c>
      <c r="H19" s="9" t="inlineStr"/>
      <c r="I19" s="10" t="inlineStr">
        <is>
          <t>#62 on Sunday Times 100 2025 (£37m sales, 80% CAGR)</t>
        </is>
      </c>
      <c r="J19" s="10" t="inlineStr">
        <is>
          <t>Head of Customer Experience / COO</t>
        </is>
      </c>
      <c r="K19" s="11" t="inlineStr">
        <is>
          <t>https://www.drapersonline.com/news/nobodys-child-odd-muse-and-montirex-among-fastest-growing-uk-companies</t>
        </is>
      </c>
      <c r="L19" s="10" t="inlineStr">
        <is>
          <t>Confirm website</t>
        </is>
      </c>
      <c r="M19" s="12" t="inlineStr"/>
      <c r="N19" s="12" t="inlineStr"/>
      <c r="O19" s="12" t="inlineStr">
        <is>
          <t>Not contacted</t>
        </is>
      </c>
      <c r="P19" s="13" t="n"/>
      <c r="Q19" s="10" t="inlineStr"/>
    </row>
    <row r="20">
      <c r="A20" s="9" t="n">
        <v>19</v>
      </c>
      <c r="B20" s="9" t="inlineStr">
        <is>
          <t>A</t>
        </is>
      </c>
      <c r="C20" s="9" t="inlineStr">
        <is>
          <t>Novomins</t>
        </is>
      </c>
      <c r="D20" s="9" t="inlineStr">
        <is>
          <t>novomins.com</t>
        </is>
      </c>
      <c r="E20" s="9" t="inlineStr">
        <is>
          <t>UK</t>
        </is>
      </c>
      <c r="F20" s="9" t="inlineStr"/>
      <c r="G20" s="9" t="inlineStr">
        <is>
          <t>E-commerce/D2C</t>
        </is>
      </c>
      <c r="H20" s="9" t="inlineStr"/>
      <c r="I20" s="10" t="inlineStr">
        <is>
          <t>#27 on Sunday Times 100 2026 (functional gummies)</t>
        </is>
      </c>
      <c r="J20" s="10" t="inlineStr">
        <is>
          <t>Founder / Head of Customer Experience</t>
        </is>
      </c>
      <c r="K20" s="11" t="inlineStr">
        <is>
          <t>https://novomins.com/blogs/news/novomins-sunday-times-top-100</t>
        </is>
      </c>
      <c r="L20" s="10" t="inlineStr">
        <is>
          <t>Confirm website</t>
        </is>
      </c>
      <c r="M20" s="12" t="inlineStr"/>
      <c r="N20" s="12" t="inlineStr"/>
      <c r="O20" s="12" t="inlineStr">
        <is>
          <t>Not contacted</t>
        </is>
      </c>
      <c r="P20" s="13" t="n"/>
      <c r="Q20" s="10" t="inlineStr"/>
    </row>
    <row r="21">
      <c r="A21" s="9" t="n">
        <v>20</v>
      </c>
      <c r="B21" s="9" t="inlineStr">
        <is>
          <t>A</t>
        </is>
      </c>
      <c r="C21" s="9" t="inlineStr">
        <is>
          <t>Odd Muse</t>
        </is>
      </c>
      <c r="D21" s="9" t="inlineStr">
        <is>
          <t>oddmuse.co.uk</t>
        </is>
      </c>
      <c r="E21" s="9" t="inlineStr">
        <is>
          <t>UK</t>
        </is>
      </c>
      <c r="F21" s="9" t="inlineStr">
        <is>
          <t>London</t>
        </is>
      </c>
      <c r="G21" s="9" t="inlineStr">
        <is>
          <t>E-commerce/D2C</t>
        </is>
      </c>
      <c r="H21" s="9" t="inlineStr"/>
      <c r="I21" s="10" t="inlineStr">
        <is>
          <t>#4 on Sunday Times 100 2025 (£25.0m sales, 268% growth)</t>
        </is>
      </c>
      <c r="J21" s="10" t="inlineStr">
        <is>
          <t>Founder / Head of Customer Experience</t>
        </is>
      </c>
      <c r="K21" s="11" t="inlineStr">
        <is>
          <t>https://www.drapersonline.com/news/nobodys-child-odd-muse-and-montirex-among-fastest-growing-uk-companies</t>
        </is>
      </c>
      <c r="L21" s="10" t="inlineStr">
        <is>
          <t>Confirm website</t>
        </is>
      </c>
      <c r="M21" s="12" t="inlineStr"/>
      <c r="N21" s="12" t="inlineStr"/>
      <c r="O21" s="12" t="inlineStr">
        <is>
          <t>Not contacted</t>
        </is>
      </c>
      <c r="P21" s="13" t="n"/>
      <c r="Q21" s="10" t="inlineStr"/>
    </row>
    <row r="22">
      <c r="A22" s="9" t="n">
        <v>21</v>
      </c>
      <c r="B22" s="9" t="inlineStr">
        <is>
          <t>A</t>
        </is>
      </c>
      <c r="C22" s="9" t="inlineStr">
        <is>
          <t>P.Louise</t>
        </is>
      </c>
      <c r="D22" s="9" t="inlineStr">
        <is>
          <t>plouise.co.uk</t>
        </is>
      </c>
      <c r="E22" s="9" t="inlineStr">
        <is>
          <t>UK</t>
        </is>
      </c>
      <c r="F22" s="9" t="inlineStr">
        <is>
          <t>Manchester</t>
        </is>
      </c>
      <c r="G22" s="9" t="inlineStr">
        <is>
          <t>E-commerce/D2C</t>
        </is>
      </c>
      <c r="H22" s="9" t="inlineStr"/>
      <c r="I22" s="10" t="inlineStr">
        <is>
          <t>#37 on Sunday Times 100 2025 (£71m sales, 109.7% growth)</t>
        </is>
      </c>
      <c r="J22" s="10" t="inlineStr">
        <is>
          <t>Head of Customer Experience / COO</t>
        </is>
      </c>
      <c r="K22" s="11" t="inlineStr">
        <is>
          <t>https://theindustry.beauty/beauty-brands-p-louise-and-refy-make-list-of-the-fastest-growing-businesses-in-britain/</t>
        </is>
      </c>
      <c r="L22" s="10" t="inlineStr">
        <is>
          <t>Confirm website</t>
        </is>
      </c>
      <c r="M22" s="12" t="inlineStr"/>
      <c r="N22" s="12" t="inlineStr"/>
      <c r="O22" s="12" t="inlineStr">
        <is>
          <t>Not contacted</t>
        </is>
      </c>
      <c r="P22" s="13" t="n"/>
      <c r="Q22" s="10" t="inlineStr"/>
    </row>
    <row r="23">
      <c r="A23" s="9" t="n">
        <v>22</v>
      </c>
      <c r="B23" s="9" t="inlineStr">
        <is>
          <t>A</t>
        </is>
      </c>
      <c r="C23" s="9" t="inlineStr">
        <is>
          <t>Passenger</t>
        </is>
      </c>
      <c r="D23" s="9" t="inlineStr">
        <is>
          <t>passenger-clothing.com</t>
        </is>
      </c>
      <c r="E23" s="9" t="inlineStr">
        <is>
          <t>UK</t>
        </is>
      </c>
      <c r="F23" s="9" t="inlineStr"/>
      <c r="G23" s="9" t="inlineStr">
        <is>
          <t>E-commerce/D2C</t>
        </is>
      </c>
      <c r="H23" s="9" t="inlineStr"/>
      <c r="I23" s="10" t="inlineStr">
        <is>
          <t>Sunday Times 100 - second-fastest-growing fashion retailer (171% CAGR)</t>
        </is>
      </c>
      <c r="J23" s="10" t="inlineStr">
        <is>
          <t>Head of Customer Experience / COO</t>
        </is>
      </c>
      <c r="K23" s="11" t="inlineStr">
        <is>
          <t>https://www.drapersonline.com/news/uk-athleisure-brands-make-sunday-times-100-list</t>
        </is>
      </c>
      <c r="L23" s="10" t="inlineStr">
        <is>
          <t>Confirm website; Verify list year</t>
        </is>
      </c>
      <c r="M23" s="12" t="inlineStr"/>
      <c r="N23" s="12" t="inlineStr"/>
      <c r="O23" s="12" t="inlineStr">
        <is>
          <t>Not contacted</t>
        </is>
      </c>
      <c r="P23" s="13" t="n"/>
      <c r="Q23" s="10" t="inlineStr"/>
    </row>
    <row r="24">
      <c r="A24" s="9" t="n">
        <v>23</v>
      </c>
      <c r="B24" s="9" t="inlineStr">
        <is>
          <t>A</t>
        </is>
      </c>
      <c r="C24" s="9" t="inlineStr">
        <is>
          <t>Phizz</t>
        </is>
      </c>
      <c r="D24" s="9" t="inlineStr">
        <is>
          <t>phizz.co</t>
        </is>
      </c>
      <c r="E24" s="9" t="inlineStr">
        <is>
          <t>UK</t>
        </is>
      </c>
      <c r="F24" s="9" t="inlineStr"/>
      <c r="G24" s="9" t="inlineStr">
        <is>
          <t>E-commerce/D2C</t>
        </is>
      </c>
      <c r="H24" s="9" t="inlineStr"/>
      <c r="I24" s="10" t="inlineStr">
        <is>
          <t>#41 on Sunday Times 100 2026 (hydration tablets)</t>
        </is>
      </c>
      <c r="J24" s="10" t="inlineStr">
        <is>
          <t>Founder / COO</t>
        </is>
      </c>
      <c r="K24" s="11" t="inlineStr">
        <is>
          <t>https://www.nutraingredients.com/Article/2026/06/09/health-and-wellness-brands-take-center-stage-on-times-100-list/</t>
        </is>
      </c>
      <c r="L24" s="10" t="inlineStr">
        <is>
          <t>Confirm website</t>
        </is>
      </c>
      <c r="M24" s="12" t="inlineStr"/>
      <c r="N24" s="12" t="inlineStr"/>
      <c r="O24" s="12" t="inlineStr">
        <is>
          <t>Not contacted</t>
        </is>
      </c>
      <c r="P24" s="13" t="n"/>
      <c r="Q24" s="10" t="inlineStr"/>
    </row>
    <row r="25">
      <c r="A25" s="9" t="n">
        <v>24</v>
      </c>
      <c r="B25" s="9" t="inlineStr">
        <is>
          <t>A</t>
        </is>
      </c>
      <c r="C25" s="9" t="inlineStr">
        <is>
          <t>REFY Beauty</t>
        </is>
      </c>
      <c r="D25" s="9" t="inlineStr">
        <is>
          <t>refybeauty.com</t>
        </is>
      </c>
      <c r="E25" s="9" t="inlineStr">
        <is>
          <t>UK</t>
        </is>
      </c>
      <c r="F25" s="9" t="inlineStr"/>
      <c r="G25" s="9" t="inlineStr">
        <is>
          <t>E-commerce/D2C</t>
        </is>
      </c>
      <c r="H25" s="9" t="inlineStr"/>
      <c r="I25" s="10" t="inlineStr">
        <is>
          <t>#61 on Sunday Times 100 2025 (£40.4m sales, 81% growth)</t>
        </is>
      </c>
      <c r="J25" s="10" t="inlineStr">
        <is>
          <t>Head of Customer Experience / COO</t>
        </is>
      </c>
      <c r="K25" s="11" t="inlineStr">
        <is>
          <t>https://theindustry.beauty/beauty-brands-p-louise-and-refy-make-list-of-the-fastest-growing-businesses-in-britain/</t>
        </is>
      </c>
      <c r="L25" s="10" t="inlineStr">
        <is>
          <t>Confirm website</t>
        </is>
      </c>
      <c r="M25" s="12" t="inlineStr"/>
      <c r="N25" s="12" t="inlineStr"/>
      <c r="O25" s="12" t="inlineStr">
        <is>
          <t>Not contacted</t>
        </is>
      </c>
      <c r="P25" s="13" t="n"/>
      <c r="Q25" s="10" t="inlineStr"/>
    </row>
    <row r="26">
      <c r="A26" s="9" t="n">
        <v>25</v>
      </c>
      <c r="B26" s="9" t="inlineStr">
        <is>
          <t>A</t>
        </is>
      </c>
      <c r="C26" s="9" t="inlineStr">
        <is>
          <t>Revnu</t>
        </is>
      </c>
      <c r="D26" s="9" t="inlineStr"/>
      <c r="E26" s="9" t="inlineStr">
        <is>
          <t>UK</t>
        </is>
      </c>
      <c r="F26" s="9" t="inlineStr">
        <is>
          <t>Manchester</t>
        </is>
      </c>
      <c r="G26" s="9" t="inlineStr">
        <is>
          <t>SaaS</t>
        </is>
      </c>
      <c r="H26" s="9" t="inlineStr"/>
      <c r="I26" s="10" t="inlineStr">
        <is>
          <t>Raised EUR2.6m Oct 2026 (AI GTM automation)</t>
        </is>
      </c>
      <c r="J26" s="10" t="inlineStr">
        <is>
          <t>Founder / COO</t>
        </is>
      </c>
      <c r="K26" s="11" t="inlineStr">
        <is>
          <t>https://www.finsmes.com/2026/10/revnu-raises-e2-6m-in-funding.html</t>
        </is>
      </c>
      <c r="L26" s="10" t="inlineStr">
        <is>
          <t>Find website</t>
        </is>
      </c>
      <c r="M26" s="12" t="inlineStr"/>
      <c r="N26" s="12" t="inlineStr"/>
      <c r="O26" s="12" t="inlineStr">
        <is>
          <t>Not contacted</t>
        </is>
      </c>
      <c r="P26" s="13" t="n"/>
      <c r="Q26" s="10" t="inlineStr"/>
    </row>
    <row r="27">
      <c r="A27" s="9" t="n">
        <v>26</v>
      </c>
      <c r="B27" s="9" t="inlineStr">
        <is>
          <t>A</t>
        </is>
      </c>
      <c r="C27" s="9" t="inlineStr">
        <is>
          <t>Rheal Superfoods</t>
        </is>
      </c>
      <c r="D27" s="9" t="inlineStr">
        <is>
          <t>rhealsuperfoods.com</t>
        </is>
      </c>
      <c r="E27" s="9" t="inlineStr">
        <is>
          <t>UK</t>
        </is>
      </c>
      <c r="F27" s="9" t="inlineStr">
        <is>
          <t>Sunderland</t>
        </is>
      </c>
      <c r="G27" s="9" t="inlineStr">
        <is>
          <t>E-commerce/D2C</t>
        </is>
      </c>
      <c r="H27" s="9" t="inlineStr"/>
      <c r="I27" s="10" t="inlineStr">
        <is>
          <t>#19 on Sunday Times 100 2025 (£25.5m turnover, 142% annual growth)</t>
        </is>
      </c>
      <c r="J27" s="10" t="inlineStr">
        <is>
          <t>Founder / Head of Customer Experience</t>
        </is>
      </c>
      <c r="K27" s="11" t="inlineStr">
        <is>
          <t>https://bdaily.co.uk/articles/2025/06/29/rheal-ranks-in-uks-fastest-100</t>
        </is>
      </c>
      <c r="L27" s="10" t="inlineStr">
        <is>
          <t>Confirm website</t>
        </is>
      </c>
      <c r="M27" s="12" t="inlineStr"/>
      <c r="N27" s="12" t="inlineStr"/>
      <c r="O27" s="12" t="inlineStr">
        <is>
          <t>Not contacted</t>
        </is>
      </c>
      <c r="P27" s="13" t="n"/>
      <c r="Q27" s="10" t="inlineStr"/>
    </row>
    <row r="28">
      <c r="A28" s="9" t="n">
        <v>27</v>
      </c>
      <c r="B28" s="9" t="inlineStr">
        <is>
          <t>A</t>
        </is>
      </c>
      <c r="C28" s="9" t="inlineStr">
        <is>
          <t>Risk Ledger</t>
        </is>
      </c>
      <c r="D28" s="9" t="inlineStr">
        <is>
          <t>riskledger.com</t>
        </is>
      </c>
      <c r="E28" s="9" t="inlineStr">
        <is>
          <t>UK</t>
        </is>
      </c>
      <c r="F28" s="9" t="inlineStr">
        <is>
          <t>London</t>
        </is>
      </c>
      <c r="G28" s="9" t="inlineStr">
        <is>
          <t>SaaS</t>
        </is>
      </c>
      <c r="H28" s="9" t="inlineStr"/>
      <c r="I28" s="10" t="inlineStr">
        <is>
          <t>#30 on Deloitte UK Technology Fast 50 2025</t>
        </is>
      </c>
      <c r="J28" s="10" t="inlineStr">
        <is>
          <t>Head of Customer Support / VP Customer Success / COO</t>
        </is>
      </c>
      <c r="K28" s="11" t="inlineStr">
        <is>
          <t>https://riskledger.com/resources/uk-fast-50-2025</t>
        </is>
      </c>
      <c r="L28" s="10" t="inlineStr">
        <is>
          <t>Confirm website</t>
        </is>
      </c>
      <c r="M28" s="12" t="inlineStr"/>
      <c r="N28" s="12" t="inlineStr"/>
      <c r="O28" s="12" t="inlineStr">
        <is>
          <t>Not contacted</t>
        </is>
      </c>
      <c r="P28" s="13" t="n"/>
      <c r="Q28" s="10" t="inlineStr"/>
    </row>
    <row r="29">
      <c r="A29" s="9" t="n">
        <v>28</v>
      </c>
      <c r="B29" s="9" t="inlineStr">
        <is>
          <t>A</t>
        </is>
      </c>
      <c r="C29" s="9" t="inlineStr">
        <is>
          <t>Summize</t>
        </is>
      </c>
      <c r="D29" s="9" t="inlineStr">
        <is>
          <t>summize.com</t>
        </is>
      </c>
      <c r="E29" s="9" t="inlineStr">
        <is>
          <t>UK</t>
        </is>
      </c>
      <c r="F29" s="9" t="inlineStr">
        <is>
          <t>Manchester</t>
        </is>
      </c>
      <c r="G29" s="9" t="inlineStr">
        <is>
          <t>SaaS</t>
        </is>
      </c>
      <c r="H29" s="9" t="inlineStr"/>
      <c r="I29" s="10" t="inlineStr">
        <is>
          <t>Raised $50M Jan 2026; 5 yrs of 100%+ ARR growth; Deloitte UK Fast 50 2025</t>
        </is>
      </c>
      <c r="J29" s="10" t="inlineStr">
        <is>
          <t>Head of Customer Support / VP Customer Success / COO</t>
        </is>
      </c>
      <c r="K29" s="11" t="inlineStr">
        <is>
          <t>https://www.businesswire.com/news/home/20260127240240/en/Summize-Raises-%2450-Million-to-Accelerate-Global-Expansion-and-Advance-AI-Contract-Intelligence</t>
        </is>
      </c>
      <c r="L29" s="10" t="inlineStr">
        <is>
          <t>Confirm website</t>
        </is>
      </c>
      <c r="M29" s="12" t="inlineStr"/>
      <c r="N29" s="12" t="inlineStr"/>
      <c r="O29" s="12" t="inlineStr">
        <is>
          <t>Not contacted</t>
        </is>
      </c>
      <c r="P29" s="13" t="n"/>
      <c r="Q29" s="10" t="inlineStr"/>
    </row>
    <row r="30">
      <c r="A30" s="9" t="n">
        <v>29</v>
      </c>
      <c r="B30" s="9" t="inlineStr">
        <is>
          <t>A</t>
        </is>
      </c>
      <c r="C30" s="9" t="inlineStr">
        <is>
          <t>ThruDark</t>
        </is>
      </c>
      <c r="D30" s="9" t="inlineStr">
        <is>
          <t>thrudark.com</t>
        </is>
      </c>
      <c r="E30" s="9" t="inlineStr">
        <is>
          <t>UK</t>
        </is>
      </c>
      <c r="F30" s="9" t="inlineStr">
        <is>
          <t>Poole</t>
        </is>
      </c>
      <c r="G30" s="9" t="inlineStr">
        <is>
          <t>E-commerce/D2C</t>
        </is>
      </c>
      <c r="H30" s="9" t="inlineStr"/>
      <c r="I30" s="10" t="inlineStr">
        <is>
          <t>#61 on Sunday Times 100 (athleisure/outdoor apparel)</t>
        </is>
      </c>
      <c r="J30" s="10" t="inlineStr">
        <is>
          <t>Head of Customer Experience / COO</t>
        </is>
      </c>
      <c r="K30" s="11" t="inlineStr">
        <is>
          <t>https://www.drapersonline.com/news/uk-athleisure-brands-make-sunday-times-100-list</t>
        </is>
      </c>
      <c r="L30" s="10" t="inlineStr">
        <is>
          <t>Confirm website; Verify list year</t>
        </is>
      </c>
      <c r="M30" s="12" t="inlineStr"/>
      <c r="N30" s="12" t="inlineStr"/>
      <c r="O30" s="12" t="inlineStr">
        <is>
          <t>Not contacted</t>
        </is>
      </c>
      <c r="P30" s="13" t="n"/>
      <c r="Q30" s="10" t="inlineStr"/>
    </row>
    <row r="31">
      <c r="A31" s="9" t="n">
        <v>30</v>
      </c>
      <c r="B31" s="9" t="inlineStr">
        <is>
          <t>A</t>
        </is>
      </c>
      <c r="C31" s="9" t="inlineStr">
        <is>
          <t>Trybe</t>
        </is>
      </c>
      <c r="D31" s="9" t="inlineStr">
        <is>
          <t>try.be</t>
        </is>
      </c>
      <c r="E31" s="9" t="inlineStr">
        <is>
          <t>UK</t>
        </is>
      </c>
      <c r="F31" s="9" t="inlineStr">
        <is>
          <t>London</t>
        </is>
      </c>
      <c r="G31" s="9" t="inlineStr">
        <is>
          <t>SaaS</t>
        </is>
      </c>
      <c r="H31" s="9" t="inlineStr"/>
      <c r="I31" s="10" t="inlineStr">
        <is>
          <t>Raised $30M Series A (Five Elms) Jan 2026; expanding NA/EU/APAC; 325+ spa/leisure properties</t>
        </is>
      </c>
      <c r="J31" s="10" t="inlineStr">
        <is>
          <t>Head of Customer Support / VP Customer Success / COO</t>
        </is>
      </c>
      <c r="K31" s="11" t="inlineStr">
        <is>
          <t>https://www.prnewswire.com/news-releases/trybe-announces-30m-series-a-investment-from-five-elms-capital-302658132.html</t>
        </is>
      </c>
      <c r="L31" s="10" t="inlineStr">
        <is>
          <t>Confirm website</t>
        </is>
      </c>
      <c r="M31" s="12" t="inlineStr"/>
      <c r="N31" s="12" t="inlineStr"/>
      <c r="O31" s="12" t="inlineStr">
        <is>
          <t>Not contacted</t>
        </is>
      </c>
      <c r="P31" s="13" t="n"/>
      <c r="Q31" s="10" t="inlineStr"/>
    </row>
    <row r="32">
      <c r="A32" s="9" t="n">
        <v>31</v>
      </c>
      <c r="B32" s="9" t="inlineStr">
        <is>
          <t>A</t>
        </is>
      </c>
      <c r="C32" s="9" t="inlineStr">
        <is>
          <t>Vertice</t>
        </is>
      </c>
      <c r="D32" s="9" t="inlineStr">
        <is>
          <t>vertice.one</t>
        </is>
      </c>
      <c r="E32" s="9" t="inlineStr">
        <is>
          <t>UK</t>
        </is>
      </c>
      <c r="F32" s="9" t="inlineStr">
        <is>
          <t>London</t>
        </is>
      </c>
      <c r="G32" s="9" t="inlineStr">
        <is>
          <t>SaaS</t>
        </is>
      </c>
      <c r="H32" s="9" t="inlineStr"/>
      <c r="I32" s="10" t="inlineStr">
        <is>
          <t>#2 software company on Sunday Times 100 Tech 2026 (437% annual growth, £27.0m sales)</t>
        </is>
      </c>
      <c r="J32" s="10" t="inlineStr">
        <is>
          <t>Head of Customer Support / VP Customer Success / COO</t>
        </is>
      </c>
      <c r="K32" s="11" t="inlineStr">
        <is>
          <t>https://www.insidermedia.com/news/national/the-sunday-times-names-uks-100-fastest-growing-tech-companies-for-2026</t>
        </is>
      </c>
      <c r="L32" s="10" t="inlineStr">
        <is>
          <t>Confirm website</t>
        </is>
      </c>
      <c r="M32" s="12" t="inlineStr"/>
      <c r="N32" s="12" t="inlineStr"/>
      <c r="O32" s="12" t="inlineStr">
        <is>
          <t>Not contacted</t>
        </is>
      </c>
      <c r="P32" s="13" t="n"/>
      <c r="Q32" s="10" t="inlineStr"/>
    </row>
    <row r="33">
      <c r="A33" s="9" t="n">
        <v>32</v>
      </c>
      <c r="B33" s="9" t="inlineStr">
        <is>
          <t>A</t>
        </is>
      </c>
      <c r="C33" s="9" t="inlineStr">
        <is>
          <t>Vidrate</t>
        </is>
      </c>
      <c r="D33" s="9" t="inlineStr">
        <is>
          <t>vidrate.com</t>
        </is>
      </c>
      <c r="E33" s="9" t="inlineStr">
        <is>
          <t>UK</t>
        </is>
      </c>
      <c r="F33" s="9" t="inlineStr"/>
      <c r="G33" s="9" t="inlineStr">
        <is>
          <t>E-commerce/D2C</t>
        </is>
      </c>
      <c r="H33" s="9" t="inlineStr"/>
      <c r="I33" s="10" t="inlineStr">
        <is>
          <t>#28 on Sunday Times 100 2026 (hydration/electrolytes)</t>
        </is>
      </c>
      <c r="J33" s="10" t="inlineStr">
        <is>
          <t>Founder / COO</t>
        </is>
      </c>
      <c r="K33" s="11" t="inlineStr">
        <is>
          <t>https://www.nutraingredients.com/Article/2026/06/09/health-and-wellness-brands-take-center-stage-on-times-100-list/</t>
        </is>
      </c>
      <c r="L33" s="10" t="inlineStr">
        <is>
          <t>Confirm website</t>
        </is>
      </c>
      <c r="M33" s="12" t="inlineStr"/>
      <c r="N33" s="12" t="inlineStr"/>
      <c r="O33" s="12" t="inlineStr">
        <is>
          <t>Not contacted</t>
        </is>
      </c>
      <c r="P33" s="13" t="n"/>
      <c r="Q33" s="10" t="inlineStr"/>
    </row>
    <row r="34">
      <c r="A34" s="9" t="n">
        <v>33</v>
      </c>
      <c r="B34" s="9" t="inlineStr">
        <is>
          <t>A</t>
        </is>
      </c>
      <c r="C34" s="9" t="inlineStr">
        <is>
          <t>Wamo</t>
        </is>
      </c>
      <c r="D34" s="9" t="inlineStr">
        <is>
          <t>wamo.io</t>
        </is>
      </c>
      <c r="E34" s="9" t="inlineStr">
        <is>
          <t>UK</t>
        </is>
      </c>
      <c r="F34" s="9" t="inlineStr">
        <is>
          <t>London</t>
        </is>
      </c>
      <c r="G34" s="9" t="inlineStr">
        <is>
          <t>SaaS</t>
        </is>
      </c>
      <c r="H34" s="9" t="inlineStr"/>
      <c r="I34" s="10" t="inlineStr">
        <is>
          <t>Raised EUR10M Series A Apr 2026; SME finance/banking platform</t>
        </is>
      </c>
      <c r="J34" s="10" t="inlineStr">
        <is>
          <t>Head of Customer Support / VP Customer Success / COO</t>
        </is>
      </c>
      <c r="K34" s="11" t="inlineStr">
        <is>
          <t>https://www.finsmes.com/2026/04/wamo-raises-e10m-in-series-a-funding.html</t>
        </is>
      </c>
      <c r="L34" s="10" t="inlineStr">
        <is>
          <t>Confirm website</t>
        </is>
      </c>
      <c r="M34" s="12" t="inlineStr"/>
      <c r="N34" s="12" t="inlineStr"/>
      <c r="O34" s="12" t="inlineStr">
        <is>
          <t>Not contacted</t>
        </is>
      </c>
      <c r="P34" s="13" t="n"/>
      <c r="Q34" s="10" t="inlineStr"/>
    </row>
    <row r="35">
      <c r="A35" s="9" t="n">
        <v>34</v>
      </c>
      <c r="B35" s="9" t="inlineStr">
        <is>
          <t>A</t>
        </is>
      </c>
      <c r="C35" s="9" t="inlineStr">
        <is>
          <t>Wyse London</t>
        </is>
      </c>
      <c r="D35" s="9" t="inlineStr">
        <is>
          <t>wyselondon.com</t>
        </is>
      </c>
      <c r="E35" s="9" t="inlineStr">
        <is>
          <t>UK</t>
        </is>
      </c>
      <c r="F35" s="9" t="inlineStr">
        <is>
          <t>London</t>
        </is>
      </c>
      <c r="G35" s="9" t="inlineStr">
        <is>
          <t>E-commerce/D2C</t>
        </is>
      </c>
      <c r="H35" s="9" t="inlineStr"/>
      <c r="I35" s="10" t="inlineStr">
        <is>
          <t>Hiring Customer Service Advisor (Gorgias/Zendesk) fixed-term Sep-Dec 2026 - peak-season gap</t>
        </is>
      </c>
      <c r="J35" s="10" t="inlineStr">
        <is>
          <t>Founder / Operations Manager</t>
        </is>
      </c>
      <c r="K35" s="11" t="inlineStr">
        <is>
          <t>https://www.glassdoor.com/Job/gorgias-jobs-SRCH_IC2671300_KO0,7.htm</t>
        </is>
      </c>
      <c r="L35" s="10" t="inlineStr">
        <is>
          <t>Confirm website; Check job ad still open</t>
        </is>
      </c>
      <c r="M35" s="12" t="inlineStr"/>
      <c r="N35" s="12" t="inlineStr"/>
      <c r="O35" s="12" t="inlineStr">
        <is>
          <t>Not contacted</t>
        </is>
      </c>
      <c r="P35" s="13" t="n"/>
      <c r="Q35" s="10" t="inlineStr"/>
    </row>
    <row r="36">
      <c r="A36" s="9" t="n">
        <v>35</v>
      </c>
      <c r="B36" s="9" t="inlineStr">
        <is>
          <t>B</t>
        </is>
      </c>
      <c r="C36" s="9" t="inlineStr">
        <is>
          <t>City Unscripted</t>
        </is>
      </c>
      <c r="D36" s="9" t="inlineStr">
        <is>
          <t>cityunscripted.com</t>
        </is>
      </c>
      <c r="E36" s="9" t="inlineStr">
        <is>
          <t>UK</t>
        </is>
      </c>
      <c r="F36" s="9" t="inlineStr">
        <is>
          <t>London</t>
        </is>
      </c>
      <c r="G36" s="9" t="inlineStr">
        <is>
          <t>Other</t>
        </is>
      </c>
      <c r="H36" s="9" t="inlineStr"/>
      <c r="I36" s="10" t="inlineStr">
        <is>
          <t>#5 on Deloitte UK Technology Fast 50 2025; consumer travel experiences marketplace</t>
        </is>
      </c>
      <c r="J36" s="10" t="inlineStr">
        <is>
          <t>COO / Head of Customer Experience</t>
        </is>
      </c>
      <c r="K36" s="11" t="inlineStr">
        <is>
          <t>https://www.barchart.com/story/news/35993388/city-unscripted-ranked-5th-fastestgrowing-technology-company-in-the-uk-in-the-2025-deloitte-uk-technology-fast-50</t>
        </is>
      </c>
      <c r="L36" s="10" t="inlineStr">
        <is>
          <t>Confirm website</t>
        </is>
      </c>
      <c r="M36" s="12" t="inlineStr"/>
      <c r="N36" s="12" t="inlineStr"/>
      <c r="O36" s="12" t="inlineStr">
        <is>
          <t>Not contacted</t>
        </is>
      </c>
      <c r="P36" s="13" t="n"/>
      <c r="Q36" s="10" t="inlineStr"/>
    </row>
    <row r="37">
      <c r="A37" s="9" t="n">
        <v>36</v>
      </c>
      <c r="B37" s="9" t="inlineStr">
        <is>
          <t>B</t>
        </is>
      </c>
      <c r="C37" s="9" t="inlineStr">
        <is>
          <t>Journee</t>
        </is>
      </c>
      <c r="D37" s="9" t="inlineStr"/>
      <c r="E37" s="9" t="inlineStr">
        <is>
          <t>UK</t>
        </is>
      </c>
      <c r="F37" s="9" t="inlineStr"/>
      <c r="G37" s="9" t="inlineStr">
        <is>
          <t>Other</t>
        </is>
      </c>
      <c r="H37" s="9" t="inlineStr"/>
      <c r="I37" s="10" t="inlineStr">
        <is>
          <t>#1 on Deloitte UK Technology Fast 50 2025 (10,171% growth); consumer travel platform</t>
        </is>
      </c>
      <c r="J37" s="10" t="inlineStr">
        <is>
          <t>COO / Head of Customer Experience</t>
        </is>
      </c>
      <c r="K37" s="11" t="inlineStr">
        <is>
          <t>https://www.deloitte.com/uk/en/about/press-room/journee-tops-deloitte-uk-technology-fast-50-ranking.html</t>
        </is>
      </c>
      <c r="L37" s="10" t="inlineStr">
        <is>
          <t>Find website</t>
        </is>
      </c>
      <c r="M37" s="12" t="inlineStr"/>
      <c r="N37" s="12" t="inlineStr"/>
      <c r="O37" s="12" t="inlineStr">
        <is>
          <t>Not contacted</t>
        </is>
      </c>
      <c r="P37" s="13" t="n"/>
      <c r="Q37" s="10" t="inlineStr"/>
    </row>
    <row r="38">
      <c r="A38" s="9" t="n">
        <v>37</v>
      </c>
      <c r="B38" s="9" t="inlineStr">
        <is>
          <t>B</t>
        </is>
      </c>
      <c r="C38" s="9" t="inlineStr">
        <is>
          <t>LendingCrowd</t>
        </is>
      </c>
      <c r="D38" s="9" t="inlineStr">
        <is>
          <t>lendingcrowd.com</t>
        </is>
      </c>
      <c r="E38" s="9" t="inlineStr">
        <is>
          <t>UK</t>
        </is>
      </c>
      <c r="F38" s="9" t="inlineStr">
        <is>
          <t>Edinburgh</t>
        </is>
      </c>
      <c r="G38" s="9" t="inlineStr">
        <is>
          <t>Other</t>
        </is>
      </c>
      <c r="H38" s="9" t="inlineStr"/>
      <c r="I38" s="10" t="inlineStr">
        <is>
          <t>#9 on Deloitte UK Technology Fast 50 2025 (2,792% growth); SME lending fintech</t>
        </is>
      </c>
      <c r="J38" s="10" t="inlineStr">
        <is>
          <t>COO / Head of Customer Operations</t>
        </is>
      </c>
      <c r="K38" s="11" t="inlineStr">
        <is>
          <t>https://www.lendingcrowd.com/blog/2025-deloitte-technology-fast-50</t>
        </is>
      </c>
      <c r="L38" s="10" t="inlineStr">
        <is>
          <t>Confirm website</t>
        </is>
      </c>
      <c r="M38" s="12" t="inlineStr"/>
      <c r="N38" s="12" t="inlineStr"/>
      <c r="O38" s="12" t="inlineStr">
        <is>
          <t>Not contacted</t>
        </is>
      </c>
      <c r="P38" s="13" t="n"/>
      <c r="Q38" s="10" t="inlineStr"/>
    </row>
    <row r="39">
      <c r="A39" s="9" t="n">
        <v>38</v>
      </c>
      <c r="B39" s="9" t="inlineStr">
        <is>
          <t>B</t>
        </is>
      </c>
      <c r="C39" s="9" t="inlineStr">
        <is>
          <t>Modern Milkman</t>
        </is>
      </c>
      <c r="D39" s="9" t="inlineStr">
        <is>
          <t>themodernmilkman.co.uk</t>
        </is>
      </c>
      <c r="E39" s="9" t="inlineStr">
        <is>
          <t>UK</t>
        </is>
      </c>
      <c r="F39" s="9" t="inlineStr">
        <is>
          <t>Manchester</t>
        </is>
      </c>
      <c r="G39" s="9" t="inlineStr">
        <is>
          <t>Subscription</t>
        </is>
      </c>
      <c r="H39" s="9" t="inlineStr"/>
      <c r="I39" s="10" t="inlineStr">
        <is>
          <t>Raised £10m Jan 2026; 100,000+ households; expanding UK and US</t>
        </is>
      </c>
      <c r="J39" s="10" t="inlineStr">
        <is>
          <t>Head of Customer Experience / COO</t>
        </is>
      </c>
      <c r="K39" s="11" t="inlineStr">
        <is>
          <t>https://tech.eu/2026/01/28/modern-milkman-lands-ps10m-to-scale-its-doorstep-delivery-model/</t>
        </is>
      </c>
      <c r="L39" s="10" t="inlineStr">
        <is>
          <t>Confirm website</t>
        </is>
      </c>
      <c r="M39" s="12" t="inlineStr"/>
      <c r="N39" s="12" t="inlineStr"/>
      <c r="O39" s="12" t="inlineStr">
        <is>
          <t>Not contacted</t>
        </is>
      </c>
      <c r="P39" s="13" t="n"/>
      <c r="Q39" s="10" t="inlineStr"/>
    </row>
    <row r="40">
      <c r="A40" s="9" t="n">
        <v>39</v>
      </c>
      <c r="B40" s="9" t="inlineStr">
        <is>
          <t>B</t>
        </is>
      </c>
      <c r="C40" s="9" t="inlineStr">
        <is>
          <t>Montirex</t>
        </is>
      </c>
      <c r="D40" s="9" t="inlineStr">
        <is>
          <t>montirex.com</t>
        </is>
      </c>
      <c r="E40" s="9" t="inlineStr">
        <is>
          <t>UK</t>
        </is>
      </c>
      <c r="F40" s="9" t="inlineStr"/>
      <c r="G40" s="9" t="inlineStr">
        <is>
          <t>E-commerce/D2C</t>
        </is>
      </c>
      <c r="H40" s="9" t="inlineStr"/>
      <c r="I40" s="10" t="inlineStr">
        <is>
          <t>#18 on Sunday Times 100 2025 (£76.7m sales); recruiting Customer Service Advisors for expanding department (Totaljobs, Sep 2026)</t>
        </is>
      </c>
      <c r="J40" s="10" t="inlineStr">
        <is>
          <t>Head of Customer Experience / COO</t>
        </is>
      </c>
      <c r="K40" s="11" t="inlineStr">
        <is>
          <t>https://www.totaljobs.com/jobs/montirex?page=1&amp;cmp=1</t>
        </is>
      </c>
      <c r="L40" s="10" t="inlineStr">
        <is>
          <t>Confirm website; May be over 500 staff</t>
        </is>
      </c>
      <c r="M40" s="12" t="inlineStr"/>
      <c r="N40" s="12" t="inlineStr"/>
      <c r="O40" s="12" t="inlineStr">
        <is>
          <t>Not contacted</t>
        </is>
      </c>
      <c r="P40" s="13" t="n"/>
      <c r="Q40" s="10" t="inlineStr"/>
    </row>
    <row r="41">
      <c r="A41" s="9" t="n">
        <v>40</v>
      </c>
      <c r="B41" s="9" t="inlineStr">
        <is>
          <t>B</t>
        </is>
      </c>
      <c r="C41" s="9" t="inlineStr">
        <is>
          <t>Simmer Eats</t>
        </is>
      </c>
      <c r="D41" s="9" t="inlineStr">
        <is>
          <t>simmereats.com</t>
        </is>
      </c>
      <c r="E41" s="9" t="inlineStr">
        <is>
          <t>UK</t>
        </is>
      </c>
      <c r="F41" s="9" t="inlineStr">
        <is>
          <t>Hitchin</t>
        </is>
      </c>
      <c r="G41" s="9" t="inlineStr">
        <is>
          <t>Subscription</t>
        </is>
      </c>
      <c r="H41" s="9" t="inlineStr"/>
      <c r="I41" s="10" t="inlineStr">
        <is>
          <t>Top 5 on Sunday Times 100 2026 (£79.1m sales, 265% annual growth); meal delivery subscription</t>
        </is>
      </c>
      <c r="J41" s="10" t="inlineStr">
        <is>
          <t>Head of Customer Experience / COO</t>
        </is>
      </c>
      <c r="K41" s="11" t="inlineStr">
        <is>
          <t>https://businesscloud.co.uk/news/the-sunday-times-100-revealed-for-2026/</t>
        </is>
      </c>
      <c r="L41" s="10" t="inlineStr">
        <is>
          <t>Confirm website</t>
        </is>
      </c>
      <c r="M41" s="12" t="inlineStr"/>
      <c r="N41" s="12" t="inlineStr"/>
      <c r="O41" s="12" t="inlineStr">
        <is>
          <t>Not contacted</t>
        </is>
      </c>
      <c r="P41" s="13" t="n"/>
      <c r="Q41" s="10" t="inlineStr"/>
    </row>
    <row r="42">
      <c r="A42" s="9" t="n">
        <v>41</v>
      </c>
      <c r="B42" s="9" t="inlineStr">
        <is>
          <t>B</t>
        </is>
      </c>
      <c r="C42" s="9" t="inlineStr">
        <is>
          <t>Swap</t>
        </is>
      </c>
      <c r="D42" s="9" t="inlineStr">
        <is>
          <t>swap-commerce.com</t>
        </is>
      </c>
      <c r="E42" s="9" t="inlineStr">
        <is>
          <t>UK</t>
        </is>
      </c>
      <c r="F42" s="9" t="inlineStr">
        <is>
          <t>London</t>
        </is>
      </c>
      <c r="G42" s="9" t="inlineStr">
        <is>
          <t>SaaS</t>
        </is>
      </c>
      <c r="H42" s="9" t="inlineStr"/>
      <c r="I42" s="10" t="inlineStr">
        <is>
          <t>Raised $100M Series C Jan 2026 (9 months after $40M Series B); e-commerce OS for brands</t>
        </is>
      </c>
      <c r="J42" s="10" t="inlineStr">
        <is>
          <t>Head of Customer Support / VP Customer Success / COO</t>
        </is>
      </c>
      <c r="K42" s="11" t="inlineStr">
        <is>
          <t>https://tech.eu/2026/01/07/e-commerce-operating-startup-swap-raises-100m/</t>
        </is>
      </c>
      <c r="L42" s="10" t="inlineStr">
        <is>
          <t>Confirm website; May be over 500 staff</t>
        </is>
      </c>
      <c r="M42" s="12" t="inlineStr"/>
      <c r="N42" s="12" t="inlineStr"/>
      <c r="O42" s="12" t="inlineStr">
        <is>
          <t>Not contacted</t>
        </is>
      </c>
      <c r="P42" s="13" t="n"/>
      <c r="Q42" s="10" t="inlineStr"/>
    </row>
    <row r="43">
      <c r="A43" s="9" t="n">
        <v>42</v>
      </c>
      <c r="B43" s="9" t="inlineStr">
        <is>
          <t>B</t>
        </is>
      </c>
      <c r="C43" s="9" t="inlineStr">
        <is>
          <t>Apploi</t>
        </is>
      </c>
      <c r="D43" s="9" t="inlineStr">
        <is>
          <t>apploi.com</t>
        </is>
      </c>
      <c r="E43" s="9" t="inlineStr">
        <is>
          <t>US</t>
        </is>
      </c>
      <c r="F43" s="9" t="inlineStr">
        <is>
          <t>New York, NY</t>
        </is>
      </c>
      <c r="G43" s="9" t="inlineStr">
        <is>
          <t>SaaS</t>
        </is>
      </c>
      <c r="H43" s="9" t="inlineStr"/>
      <c r="I43" s="10" t="inlineStr">
        <is>
          <t>#288 on Deloitte Technology Fast 500 2025</t>
        </is>
      </c>
      <c r="J43" s="10" t="inlineStr">
        <is>
          <t>Head of Customer Support / VP Customer Success / COO</t>
        </is>
      </c>
      <c r="K43" s="11" t="inlineStr">
        <is>
          <t>https://www.prnewswire.com/news-releases/apploi-ranked-no-288-fastest-growing-company-on-the-2025-deloitte-technology-fast-500-302620432.html</t>
        </is>
      </c>
      <c r="L43" s="10" t="inlineStr">
        <is>
          <t>Confirm website</t>
        </is>
      </c>
      <c r="M43" s="12" t="inlineStr"/>
      <c r="N43" s="12" t="inlineStr"/>
      <c r="O43" s="12" t="inlineStr">
        <is>
          <t>Not contacted</t>
        </is>
      </c>
      <c r="P43" s="13" t="n"/>
      <c r="Q43" s="10" t="inlineStr"/>
    </row>
    <row r="44">
      <c r="A44" s="9" t="n">
        <v>43</v>
      </c>
      <c r="B44" s="9" t="inlineStr">
        <is>
          <t>B</t>
        </is>
      </c>
      <c r="C44" s="9" t="inlineStr">
        <is>
          <t>Atomic</t>
        </is>
      </c>
      <c r="D44" s="9" t="inlineStr"/>
      <c r="E44" s="9" t="inlineStr">
        <is>
          <t>US</t>
        </is>
      </c>
      <c r="F44" s="9" t="inlineStr">
        <is>
          <t>Boston, MA</t>
        </is>
      </c>
      <c r="G44" s="9" t="inlineStr">
        <is>
          <t>SaaS</t>
        </is>
      </c>
      <c r="H44" s="9" t="inlineStr"/>
      <c r="I44" s="10" t="inlineStr">
        <is>
          <t>Raised $12.5M Series A Sep 2026; customers include DoorDash, HelloFresh</t>
        </is>
      </c>
      <c r="J44" s="10" t="inlineStr">
        <is>
          <t>Head of Customer Support / VP Customer Success / COO</t>
        </is>
      </c>
      <c r="K44" s="11" t="inlineStr">
        <is>
          <t>https://www.finsmes.com/2026/09/atomic-raises-12-5m-in-series-a-funding.html</t>
        </is>
      </c>
      <c r="L44" s="10" t="inlineStr">
        <is>
          <t>Find website</t>
        </is>
      </c>
      <c r="M44" s="12" t="inlineStr"/>
      <c r="N44" s="12" t="inlineStr"/>
      <c r="O44" s="12" t="inlineStr">
        <is>
          <t>Not contacted</t>
        </is>
      </c>
      <c r="P44" s="13" t="n"/>
      <c r="Q44" s="10" t="inlineStr"/>
    </row>
    <row r="45">
      <c r="A45" s="9" t="n">
        <v>44</v>
      </c>
      <c r="B45" s="9" t="inlineStr">
        <is>
          <t>B</t>
        </is>
      </c>
      <c r="C45" s="9" t="inlineStr">
        <is>
          <t>Bogg Bag</t>
        </is>
      </c>
      <c r="D45" s="9" t="inlineStr">
        <is>
          <t>boggbag.com</t>
        </is>
      </c>
      <c r="E45" s="9" t="inlineStr">
        <is>
          <t>US</t>
        </is>
      </c>
      <c r="F45" s="9" t="inlineStr">
        <is>
          <t>Secaucus, NJ</t>
        </is>
      </c>
      <c r="G45" s="9" t="inlineStr">
        <is>
          <t>E-commerce/D2C</t>
        </is>
      </c>
      <c r="H45" s="9" t="inlineStr"/>
      <c r="I45" s="10" t="inlineStr">
        <is>
          <t>2026 Inc. 5000 honoree (#2,072 Consumer Products); also 2025 honoree</t>
        </is>
      </c>
      <c r="J45" s="10" t="inlineStr">
        <is>
          <t>Head of Customer Experience / COO</t>
        </is>
      </c>
      <c r="K45" s="11" t="inlineStr">
        <is>
          <t>https://www.inc.com/profile/kimberlee-vaccarella</t>
        </is>
      </c>
      <c r="L45" s="10" t="inlineStr">
        <is>
          <t>Confirm website</t>
        </is>
      </c>
      <c r="M45" s="12" t="inlineStr"/>
      <c r="N45" s="12" t="inlineStr"/>
      <c r="O45" s="12" t="inlineStr">
        <is>
          <t>Not contacted</t>
        </is>
      </c>
      <c r="P45" s="13" t="n"/>
      <c r="Q45" s="10" t="inlineStr"/>
    </row>
    <row r="46">
      <c r="A46" s="9" t="n">
        <v>45</v>
      </c>
      <c r="B46" s="9" t="inlineStr">
        <is>
          <t>B</t>
        </is>
      </c>
      <c r="C46" s="9" t="inlineStr">
        <is>
          <t>Branch Furniture</t>
        </is>
      </c>
      <c r="D46" s="9" t="inlineStr">
        <is>
          <t>branchfurniture.com</t>
        </is>
      </c>
      <c r="E46" s="9" t="inlineStr">
        <is>
          <t>US</t>
        </is>
      </c>
      <c r="F46" s="9" t="inlineStr">
        <is>
          <t>New York, NY</t>
        </is>
      </c>
      <c r="G46" s="9" t="inlineStr">
        <is>
          <t>E-commerce/D2C</t>
        </is>
      </c>
      <c r="H46" s="9" t="inlineStr">
        <is>
          <t>201-500 (per ZoomInfo)</t>
        </is>
      </c>
      <c r="I46" s="10" t="inlineStr">
        <is>
          <t>#73 on Inc. 5000 (2023); D2C office furniture</t>
        </is>
      </c>
      <c r="J46" s="10" t="inlineStr">
        <is>
          <t>Head of Customer Experience / COO</t>
        </is>
      </c>
      <c r="K46" s="11" t="inlineStr">
        <is>
          <t>https://www.builtinnyc.com/articles/these-nyc-companies-made-inc-5000</t>
        </is>
      </c>
      <c r="L46" s="10" t="inlineStr">
        <is>
          <t>Confirm website</t>
        </is>
      </c>
      <c r="M46" s="12" t="inlineStr"/>
      <c r="N46" s="12" t="inlineStr"/>
      <c r="O46" s="12" t="inlineStr">
        <is>
          <t>Not contacted</t>
        </is>
      </c>
      <c r="P46" s="13" t="n"/>
      <c r="Q46" s="10" t="inlineStr"/>
    </row>
    <row r="47">
      <c r="A47" s="9" t="n">
        <v>46</v>
      </c>
      <c r="B47" s="9" t="inlineStr">
        <is>
          <t>B</t>
        </is>
      </c>
      <c r="C47" s="9" t="inlineStr">
        <is>
          <t>Brooklinen</t>
        </is>
      </c>
      <c r="D47" s="9" t="inlineStr">
        <is>
          <t>brooklinen.com</t>
        </is>
      </c>
      <c r="E47" s="9" t="inlineStr">
        <is>
          <t>US</t>
        </is>
      </c>
      <c r="F47" s="9" t="inlineStr">
        <is>
          <t>Brooklyn, NY</t>
        </is>
      </c>
      <c r="G47" s="9" t="inlineStr">
        <is>
          <t>E-commerce/D2C</t>
        </is>
      </c>
      <c r="H47" s="9" t="inlineStr">
        <is>
          <t>~166</t>
        </is>
      </c>
      <c r="I47" s="10" t="inlineStr">
        <is>
          <t>Zendesk customer (Zendesk case study); $117m sales 2025</t>
        </is>
      </c>
      <c r="J47" s="10" t="inlineStr">
        <is>
          <t>Head of Customer Experience / COO</t>
        </is>
      </c>
      <c r="K47" s="11" t="inlineStr">
        <is>
          <t>https://www.zendesk.com/blog/industries/brooklinen-industry-going-direct-consumer/</t>
        </is>
      </c>
      <c r="L47" s="10" t="inlineStr">
        <is>
          <t>Confirm website</t>
        </is>
      </c>
      <c r="M47" s="12" t="inlineStr"/>
      <c r="N47" s="12" t="inlineStr"/>
      <c r="O47" s="12" t="inlineStr">
        <is>
          <t>Not contacted</t>
        </is>
      </c>
      <c r="P47" s="13" t="n"/>
      <c r="Q47" s="10" t="inlineStr"/>
    </row>
    <row r="48">
      <c r="A48" s="9" t="n">
        <v>47</v>
      </c>
      <c r="B48" s="9" t="inlineStr">
        <is>
          <t>B</t>
        </is>
      </c>
      <c r="C48" s="9" t="inlineStr">
        <is>
          <t>Dermatool</t>
        </is>
      </c>
      <c r="D48" s="9" t="inlineStr">
        <is>
          <t>dermatool.com</t>
        </is>
      </c>
      <c r="E48" s="9" t="inlineStr">
        <is>
          <t>US</t>
        </is>
      </c>
      <c r="F48" s="9" t="inlineStr">
        <is>
          <t>Hoboken, NJ</t>
        </is>
      </c>
      <c r="G48" s="9" t="inlineStr">
        <is>
          <t>E-commerce/D2C</t>
        </is>
      </c>
      <c r="H48" s="9" t="inlineStr"/>
      <c r="I48" s="10" t="inlineStr">
        <is>
          <t>#1,765 on Inc. 5000 2026 (Consumer Products); sells online</t>
        </is>
      </c>
      <c r="J48" s="10" t="inlineStr">
        <is>
          <t>Founder / COO</t>
        </is>
      </c>
      <c r="K48" s="11" t="inlineStr">
        <is>
          <t>https://njbiz.com/nj-companies-2026-inc-5000/</t>
        </is>
      </c>
      <c r="L48" s="10" t="inlineStr">
        <is>
          <t>Confirm website</t>
        </is>
      </c>
      <c r="M48" s="12" t="inlineStr"/>
      <c r="N48" s="12" t="inlineStr"/>
      <c r="O48" s="12" t="inlineStr">
        <is>
          <t>Not contacted</t>
        </is>
      </c>
      <c r="P48" s="13" t="n"/>
      <c r="Q48" s="10" t="inlineStr"/>
    </row>
    <row r="49">
      <c r="A49" s="9" t="n">
        <v>48</v>
      </c>
      <c r="B49" s="9" t="inlineStr">
        <is>
          <t>B</t>
        </is>
      </c>
      <c r="C49" s="9" t="inlineStr">
        <is>
          <t>Dossier</t>
        </is>
      </c>
      <c r="D49" s="9" t="inlineStr">
        <is>
          <t>dossier.co</t>
        </is>
      </c>
      <c r="E49" s="9" t="inlineStr">
        <is>
          <t>US</t>
        </is>
      </c>
      <c r="F49" s="9" t="inlineStr">
        <is>
          <t>New York, NY</t>
        </is>
      </c>
      <c r="G49" s="9" t="inlineStr">
        <is>
          <t>E-commerce/D2C</t>
        </is>
      </c>
      <c r="H49" s="9" t="inlineStr"/>
      <c r="I49" s="10" t="inlineStr">
        <is>
          <t>PE investment from American Pacific Group (Apr 2026); ~$100m annualized revenue 2025</t>
        </is>
      </c>
      <c r="J49" s="10" t="inlineStr">
        <is>
          <t>Head of Customer Experience / COO</t>
        </is>
      </c>
      <c r="K49" s="11" t="inlineStr">
        <is>
          <t>https://www.morningstar.com/news/business-wire/20260401050420/american-pacific-group-announces-investment-in-dossier</t>
        </is>
      </c>
      <c r="L49" s="10" t="inlineStr">
        <is>
          <t>Confirm website; May be over 500 staff</t>
        </is>
      </c>
      <c r="M49" s="12" t="inlineStr"/>
      <c r="N49" s="12" t="inlineStr"/>
      <c r="O49" s="12" t="inlineStr">
        <is>
          <t>Not contacted</t>
        </is>
      </c>
      <c r="P49" s="13" t="n"/>
      <c r="Q49" s="10" t="inlineStr"/>
    </row>
    <row r="50">
      <c r="A50" s="9" t="n">
        <v>49</v>
      </c>
      <c r="B50" s="9" t="inlineStr">
        <is>
          <t>B</t>
        </is>
      </c>
      <c r="C50" s="9" t="inlineStr">
        <is>
          <t>Glimpse</t>
        </is>
      </c>
      <c r="D50" s="9" t="inlineStr">
        <is>
          <t>tryglimpse.com</t>
        </is>
      </c>
      <c r="E50" s="9" t="inlineStr">
        <is>
          <t>US</t>
        </is>
      </c>
      <c r="F50" s="9" t="inlineStr">
        <is>
          <t>New York, NY</t>
        </is>
      </c>
      <c r="G50" s="9" t="inlineStr">
        <is>
          <t>SaaS</t>
        </is>
      </c>
      <c r="H50" s="9" t="inlineStr"/>
      <c r="I50" s="10" t="inlineStr">
        <is>
          <t>Raised $35M Series A (a16z) Apr 2026; 200+ CPG brands; expanding customer success</t>
        </is>
      </c>
      <c r="J50" s="10" t="inlineStr">
        <is>
          <t>Head of Customer Support / VP Customer Success / COO</t>
        </is>
      </c>
      <c r="K50" s="11" t="inlineStr">
        <is>
          <t>https://www.tryglimpse.com/post/seriesa</t>
        </is>
      </c>
      <c r="L50" s="10" t="inlineStr">
        <is>
          <t>Confirm website</t>
        </is>
      </c>
      <c r="M50" s="12" t="inlineStr"/>
      <c r="N50" s="12" t="inlineStr"/>
      <c r="O50" s="12" t="inlineStr">
        <is>
          <t>Not contacted</t>
        </is>
      </c>
      <c r="P50" s="13" t="n"/>
      <c r="Q50" s="10" t="inlineStr"/>
    </row>
    <row r="51">
      <c r="A51" s="9" t="n">
        <v>50</v>
      </c>
      <c r="B51" s="9" t="inlineStr">
        <is>
          <t>B</t>
        </is>
      </c>
      <c r="C51" s="9" t="inlineStr">
        <is>
          <t>Graza</t>
        </is>
      </c>
      <c r="D51" s="9" t="inlineStr">
        <is>
          <t>graza.co</t>
        </is>
      </c>
      <c r="E51" s="9" t="inlineStr">
        <is>
          <t>US</t>
        </is>
      </c>
      <c r="F51" s="9" t="inlineStr">
        <is>
          <t>Brooklyn, NY</t>
        </is>
      </c>
      <c r="G51" s="9" t="inlineStr">
        <is>
          <t>E-commerce/D2C</t>
        </is>
      </c>
      <c r="H51" s="9" t="inlineStr"/>
      <c r="I51" s="10" t="inlineStr">
        <is>
          <t>~$48m sales 2024, reported tripling gross sales in 2025; $240m valuation</t>
        </is>
      </c>
      <c r="J51" s="10" t="inlineStr">
        <is>
          <t>COO / Head of Customer Experience</t>
        </is>
      </c>
      <c r="K51" s="11" t="inlineStr">
        <is>
          <t>https://insideretail.asia/2025/12/16/how-graza-became-a-48-million-olive-oil-brand-stocked-by-whole-foods-and-target/</t>
        </is>
      </c>
      <c r="L51" s="10" t="inlineStr">
        <is>
          <t>Confirm website</t>
        </is>
      </c>
      <c r="M51" s="12" t="inlineStr"/>
      <c r="N51" s="12" t="inlineStr"/>
      <c r="O51" s="12" t="inlineStr">
        <is>
          <t>Not contacted</t>
        </is>
      </c>
      <c r="P51" s="13" t="n"/>
      <c r="Q51" s="10" t="inlineStr"/>
    </row>
    <row r="52">
      <c r="A52" s="9" t="n">
        <v>51</v>
      </c>
      <c r="B52" s="9" t="inlineStr">
        <is>
          <t>B</t>
        </is>
      </c>
      <c r="C52" s="9" t="inlineStr">
        <is>
          <t>HR Acuity</t>
        </is>
      </c>
      <c r="D52" s="9" t="inlineStr">
        <is>
          <t>hracuity.com</t>
        </is>
      </c>
      <c r="E52" s="9" t="inlineStr">
        <is>
          <t>US</t>
        </is>
      </c>
      <c r="F52" s="9" t="inlineStr"/>
      <c r="G52" s="9" t="inlineStr">
        <is>
          <t>SaaS</t>
        </is>
      </c>
      <c r="H52" s="9" t="inlineStr"/>
      <c r="I52" s="10" t="inlineStr">
        <is>
          <t>Named to Deloitte Technology Fast 500 2025</t>
        </is>
      </c>
      <c r="J52" s="10" t="inlineStr">
        <is>
          <t>Head of Customer Support / VP Customer Success / COO</t>
        </is>
      </c>
      <c r="K52" s="11" t="inlineStr">
        <is>
          <t>https://finance.yahoo.com/news/hr-acuity-named-2025-deloitte-133100302.html</t>
        </is>
      </c>
      <c r="L52" s="10" t="inlineStr">
        <is>
          <t>Confirm website</t>
        </is>
      </c>
      <c r="M52" s="12" t="inlineStr"/>
      <c r="N52" s="12" t="inlineStr"/>
      <c r="O52" s="12" t="inlineStr">
        <is>
          <t>Not contacted</t>
        </is>
      </c>
      <c r="P52" s="13" t="n"/>
      <c r="Q52" s="10" t="inlineStr"/>
    </row>
    <row r="53">
      <c r="A53" s="9" t="n">
        <v>52</v>
      </c>
      <c r="B53" s="9" t="inlineStr">
        <is>
          <t>B</t>
        </is>
      </c>
      <c r="C53" s="9" t="inlineStr">
        <is>
          <t>Jones Road Beauty</t>
        </is>
      </c>
      <c r="D53" s="9" t="inlineStr">
        <is>
          <t>jonesroadbeauty.com</t>
        </is>
      </c>
      <c r="E53" s="9" t="inlineStr">
        <is>
          <t>US</t>
        </is>
      </c>
      <c r="F53" s="9" t="inlineStr">
        <is>
          <t>Montclair, NJ</t>
        </is>
      </c>
      <c r="G53" s="9" t="inlineStr">
        <is>
          <t>E-commerce/D2C</t>
        </is>
      </c>
      <c r="H53" s="9" t="inlineStr">
        <is>
          <t>~184</t>
        </is>
      </c>
      <c r="I53" s="10" t="inlineStr">
        <is>
          <t>Headcount +21% YoY, 8 open roles (Aug 2026); $100m+ revenue</t>
        </is>
      </c>
      <c r="J53" s="10" t="inlineStr">
        <is>
          <t>Head of Customer Experience / COO</t>
        </is>
      </c>
      <c r="K53" s="11" t="inlineStr">
        <is>
          <t>https://profiles.crustdata.com/company/jones-road-beauty</t>
        </is>
      </c>
      <c r="L53" s="10" t="inlineStr">
        <is>
          <t>Confirm website; May be over 500 staff</t>
        </is>
      </c>
      <c r="M53" s="12" t="inlineStr"/>
      <c r="N53" s="12" t="inlineStr"/>
      <c r="O53" s="12" t="inlineStr">
        <is>
          <t>Not contacted</t>
        </is>
      </c>
      <c r="P53" s="13" t="n"/>
      <c r="Q53" s="10" t="inlineStr"/>
    </row>
    <row r="54">
      <c r="A54" s="9" t="n">
        <v>53</v>
      </c>
      <c r="B54" s="9" t="inlineStr">
        <is>
          <t>B</t>
        </is>
      </c>
      <c r="C54" s="9" t="inlineStr">
        <is>
          <t>Probook</t>
        </is>
      </c>
      <c r="D54" s="9" t="inlineStr">
        <is>
          <t>probook.ai</t>
        </is>
      </c>
      <c r="E54" s="9" t="inlineStr">
        <is>
          <t>US</t>
        </is>
      </c>
      <c r="F54" s="9" t="inlineStr">
        <is>
          <t>New York, NY</t>
        </is>
      </c>
      <c r="G54" s="9" t="inlineStr">
        <is>
          <t>SaaS</t>
        </is>
      </c>
      <c r="H54" s="9" t="inlineStr"/>
      <c r="I54" s="10" t="inlineStr">
        <is>
          <t>Raised $40M Seed+Series A (a16z, Sequoia) Jun 2026; growing customer success teams</t>
        </is>
      </c>
      <c r="J54" s="10" t="inlineStr">
        <is>
          <t>Head of Customer Support / VP Customer Success / COO</t>
        </is>
      </c>
      <c r="K54" s="11" t="inlineStr">
        <is>
          <t>https://www.globenewswire.com/news-release/2026/06/23/3316215/0/en/probook-raises-40m-from-andreessen-horowitz-and-sequoia-to-scale-the-ai-operating-system-for-home-services.html</t>
        </is>
      </c>
      <c r="L54" s="10" t="inlineStr">
        <is>
          <t>Confirm website</t>
        </is>
      </c>
      <c r="M54" s="12" t="inlineStr"/>
      <c r="N54" s="12" t="inlineStr"/>
      <c r="O54" s="12" t="inlineStr">
        <is>
          <t>Not contacted</t>
        </is>
      </c>
      <c r="P54" s="13" t="n"/>
      <c r="Q54" s="10" t="inlineStr"/>
    </row>
    <row r="55">
      <c r="A55" s="9" t="n">
        <v>54</v>
      </c>
      <c r="B55" s="9" t="inlineStr">
        <is>
          <t>B</t>
        </is>
      </c>
      <c r="C55" s="9" t="inlineStr">
        <is>
          <t>Sent</t>
        </is>
      </c>
      <c r="D55" s="9" t="inlineStr">
        <is>
          <t>sent.dm</t>
        </is>
      </c>
      <c r="E55" s="9" t="inlineStr">
        <is>
          <t>US</t>
        </is>
      </c>
      <c r="F55" s="9" t="inlineStr">
        <is>
          <t>New York, NY</t>
        </is>
      </c>
      <c r="G55" s="9" t="inlineStr">
        <is>
          <t>SaaS</t>
        </is>
      </c>
      <c r="H55" s="9" t="inlineStr"/>
      <c r="I55" s="10" t="inlineStr">
        <is>
          <t>Raised $12M Series A Jul 2026; 20,000+ developers/teams on platform</t>
        </is>
      </c>
      <c r="J55" s="10" t="inlineStr">
        <is>
          <t>Head of Customer Support / VP Customer Success / COO</t>
        </is>
      </c>
      <c r="K55" s="11" t="inlineStr">
        <is>
          <t>https://www.globenewswire.com/news-release/2026/07/28/3334213/0/en/sent-raises-12m-series-a-to-supercharge-ai-messaging-infrastructure.html</t>
        </is>
      </c>
      <c r="L55" s="10" t="inlineStr">
        <is>
          <t>Confirm website</t>
        </is>
      </c>
      <c r="M55" s="12" t="inlineStr"/>
      <c r="N55" s="12" t="inlineStr"/>
      <c r="O55" s="12" t="inlineStr">
        <is>
          <t>Not contacted</t>
        </is>
      </c>
      <c r="P55" s="13" t="n"/>
      <c r="Q55" s="10" t="inlineStr"/>
    </row>
    <row r="56">
      <c r="A56" s="9" t="n">
        <v>55</v>
      </c>
      <c r="B56" s="9" t="inlineStr">
        <is>
          <t>C</t>
        </is>
      </c>
      <c r="C56" s="9" t="inlineStr">
        <is>
          <t>Six Stories</t>
        </is>
      </c>
      <c r="D56" s="9" t="inlineStr">
        <is>
          <t>sixstories.co.uk</t>
        </is>
      </c>
      <c r="E56" s="9" t="inlineStr">
        <is>
          <t>UK</t>
        </is>
      </c>
      <c r="F56" s="9" t="inlineStr">
        <is>
          <t>Altrincham</t>
        </is>
      </c>
      <c r="G56" s="9" t="inlineStr">
        <is>
          <t>E-commerce/D2C</t>
        </is>
      </c>
      <c r="H56" s="9" t="inlineStr"/>
      <c r="I56" s="10" t="inlineStr">
        <is>
          <t>#20 on Sunday Times 100 2024 (online bridalwear)</t>
        </is>
      </c>
      <c r="J56" s="10" t="inlineStr">
        <is>
          <t>Founder / Head of Customer Experience</t>
        </is>
      </c>
      <c r="K56" s="11" t="inlineStr">
        <is>
          <t>https://aboutmanchester.co.uk/six-stories-announced-as-the-first-bridal-brand-in-the-sunday-times-100-fastest-growing-companies-for-2024/</t>
        </is>
      </c>
      <c r="L56" s="10" t="inlineStr">
        <is>
          <t>Confirm website; Signal pre-2025</t>
        </is>
      </c>
      <c r="M56" s="12" t="inlineStr"/>
      <c r="N56" s="12" t="inlineStr"/>
      <c r="O56" s="12" t="inlineStr">
        <is>
          <t>Not contacted</t>
        </is>
      </c>
      <c r="P56" s="13" t="n"/>
      <c r="Q56" s="10" t="inlineStr"/>
    </row>
    <row r="57">
      <c r="A57" s="9" t="n">
        <v>56</v>
      </c>
      <c r="B57" s="9" t="inlineStr">
        <is>
          <t>C</t>
        </is>
      </c>
      <c r="C57" s="9" t="inlineStr">
        <is>
          <t>Caraway</t>
        </is>
      </c>
      <c r="D57" s="9" t="inlineStr">
        <is>
          <t>carawayhome.com</t>
        </is>
      </c>
      <c r="E57" s="9" t="inlineStr">
        <is>
          <t>US</t>
        </is>
      </c>
      <c r="F57" s="9" t="inlineStr">
        <is>
          <t>New York, NY</t>
        </is>
      </c>
      <c r="G57" s="9" t="inlineStr">
        <is>
          <t>E-commerce/D2C</t>
        </is>
      </c>
      <c r="H57" s="9" t="inlineStr">
        <is>
          <t>40+ (2022)</t>
        </is>
      </c>
      <c r="I57" s="10" t="inlineStr">
        <is>
          <t>D2C cookware; raised $35M (McCarthy Capital), $70.3M total</t>
        </is>
      </c>
      <c r="J57" s="10" t="inlineStr">
        <is>
          <t>Head of Customer Experience / COO</t>
        </is>
      </c>
      <c r="K57" s="11" t="inlineStr">
        <is>
          <t>https://www.retaildive.com/news/direct-to-consumer-brand-caraway-raises-35-million/632993/</t>
        </is>
      </c>
      <c r="L57" s="10" t="inlineStr">
        <is>
          <t>Confirm website; Signal pre-2025</t>
        </is>
      </c>
      <c r="M57" s="12" t="inlineStr"/>
      <c r="N57" s="12" t="inlineStr"/>
      <c r="O57" s="12" t="inlineStr">
        <is>
          <t>Not contacted</t>
        </is>
      </c>
      <c r="P57" s="13" t="n"/>
      <c r="Q57" s="10" t="inlineStr"/>
    </row>
    <row r="58">
      <c r="A58" s="9" t="n">
        <v>57</v>
      </c>
      <c r="B58" s="9" t="inlineStr">
        <is>
          <t>C</t>
        </is>
      </c>
      <c r="C58" s="9" t="inlineStr">
        <is>
          <t>Lalo</t>
        </is>
      </c>
      <c r="D58" s="9" t="inlineStr">
        <is>
          <t>meetlalo.com</t>
        </is>
      </c>
      <c r="E58" s="9" t="inlineStr">
        <is>
          <t>US</t>
        </is>
      </c>
      <c r="F58" s="9" t="inlineStr">
        <is>
          <t>New York, NY</t>
        </is>
      </c>
      <c r="G58" s="9" t="inlineStr">
        <is>
          <t>E-commerce/D2C</t>
        </is>
      </c>
      <c r="H58" s="9" t="inlineStr"/>
      <c r="I58" s="10" t="inlineStr">
        <is>
          <t>D2C baby brand; $10.1M Series A (2023) + later equity round with Forecast Labs</t>
        </is>
      </c>
      <c r="J58" s="10" t="inlineStr">
        <is>
          <t>Head of Customer Experience / COO</t>
        </is>
      </c>
      <c r="K58" s="11" t="inlineStr">
        <is>
          <t>https://www.modernretail.co/operations/dtc-baby-brand-lalo-raises-10-1m-series-a/</t>
        </is>
      </c>
      <c r="L58" s="10" t="inlineStr">
        <is>
          <t>Confirm website; Signal pre-2025</t>
        </is>
      </c>
      <c r="M58" s="12" t="inlineStr"/>
      <c r="N58" s="12" t="inlineStr"/>
      <c r="O58" s="12" t="inlineStr">
        <is>
          <t>Not contacted</t>
        </is>
      </c>
      <c r="P58" s="13" t="n"/>
      <c r="Q58" s="10" t="inlineStr"/>
    </row>
    <row r="59">
      <c r="A59" s="9" t="n">
        <v>58</v>
      </c>
      <c r="B59" s="9" t="inlineStr">
        <is>
          <t>C</t>
        </is>
      </c>
      <c r="C59" s="9" t="inlineStr">
        <is>
          <t>Magic Spoon</t>
        </is>
      </c>
      <c r="D59" s="9" t="inlineStr">
        <is>
          <t>magicspoon.com</t>
        </is>
      </c>
      <c r="E59" s="9" t="inlineStr">
        <is>
          <t>US</t>
        </is>
      </c>
      <c r="F59" s="9" t="inlineStr">
        <is>
          <t>New York, NY</t>
        </is>
      </c>
      <c r="G59" s="9" t="inlineStr">
        <is>
          <t>E-commerce/D2C</t>
        </is>
      </c>
      <c r="H59" s="9" t="inlineStr"/>
      <c r="I59" s="10" t="inlineStr">
        <is>
          <t>D2C cereal; $209M raised total; 1m+ customers, expanding omnichannel</t>
        </is>
      </c>
      <c r="J59" s="10" t="inlineStr">
        <is>
          <t>Head of Customer Experience / COO</t>
        </is>
      </c>
      <c r="K59" s="11" t="inlineStr">
        <is>
          <t>https://en.wikipedia.org/wiki/Magic_Spoon</t>
        </is>
      </c>
      <c r="L59" s="10" t="inlineStr">
        <is>
          <t>Confirm website; Signal pre-2025</t>
        </is>
      </c>
      <c r="M59" s="12" t="inlineStr"/>
      <c r="N59" s="12" t="inlineStr"/>
      <c r="O59" s="12" t="inlineStr">
        <is>
          <t>Not contacted</t>
        </is>
      </c>
      <c r="P59" s="13" t="n"/>
      <c r="Q59" s="10" t="inlineStr"/>
    </row>
    <row r="60">
      <c r="A60" s="9" t="n">
        <v>59</v>
      </c>
      <c r="B60" s="9" t="inlineStr">
        <is>
          <t>C</t>
        </is>
      </c>
      <c r="C60" s="9" t="inlineStr">
        <is>
          <t>Thesis</t>
        </is>
      </c>
      <c r="D60" s="9" t="inlineStr">
        <is>
          <t>takethesis.com</t>
        </is>
      </c>
      <c r="E60" s="9" t="inlineStr">
        <is>
          <t>US</t>
        </is>
      </c>
      <c r="F60" s="9" t="inlineStr">
        <is>
          <t>New York, NY</t>
        </is>
      </c>
      <c r="G60" s="9" t="inlineStr">
        <is>
          <t>Subscription</t>
        </is>
      </c>
      <c r="H60" s="9" t="inlineStr">
        <is>
          <t>~64</t>
        </is>
      </c>
      <c r="I60" s="10" t="inlineStr">
        <is>
          <t>#12 on Inc. 5000 (2023); #3 FT Americas' Fastest-Growing 2024; personalized nootropics subscription</t>
        </is>
      </c>
      <c r="J60" s="10" t="inlineStr">
        <is>
          <t>COO / Head of Customer Experience</t>
        </is>
      </c>
      <c r="K60" s="11" t="inlineStr">
        <is>
          <t>https://www.builtinnyc.com/articles/these-nyc-companies-made-inc-5000</t>
        </is>
      </c>
      <c r="L60" s="10" t="inlineStr">
        <is>
          <t>Confirm website; Signal pre-2025</t>
        </is>
      </c>
      <c r="M60" s="12" t="inlineStr"/>
      <c r="N60" s="12" t="inlineStr"/>
      <c r="O60" s="12" t="inlineStr">
        <is>
          <t>Not contacted</t>
        </is>
      </c>
      <c r="P60" s="13" t="n"/>
      <c r="Q60" s="10" t="inlineStr"/>
    </row>
  </sheetData>
  <autoFilter ref="A1:Q60"/>
  <dataValidations count="2">
    <dataValidation sqref="O2:O60" showDropDown="0" showInputMessage="0" showErrorMessage="0" allowBlank="1" type="list">
      <formula1>"Not contacted,Contacted,Replied,Call booked,Proposal sent,Pilot won,Not a fit,Opted out"</formula1>
    </dataValidation>
    <dataValidation sqref="B2:B60" showDropDown="0" showInputMessage="0" showErrorMessage="0" allowBlank="0" type="list">
      <formula1>"A,B,C"</formula1>
    </dataValidation>
  </dataValidations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2026-10-02T21:10:08Z</dcterms:created>
  <dcterms:modified xsi:type="dcterms:W3CDTF">2026-10-02T21:10:23Z</dcterms:modified>
</cp:coreProperties>
</file>