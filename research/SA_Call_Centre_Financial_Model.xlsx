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Seat Economics" sheetId="3" state="visible" r:id="rId3"/>
    <sheet name="Monthly 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$#,##0;($#,##0);-"/>
    <numFmt numFmtId="166" formatCode="0.0&quot;x&quot;"/>
    <numFmt numFmtId="167" formatCode="0.0%;(0.0%);-"/>
    <numFmt numFmtId="168" formatCode="R#,##0;(R#,##0);-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  <font>
      <name val="Arial"/>
      <color rgb="00595959"/>
      <sz val="9"/>
    </font>
    <font>
      <name val="Arial"/>
      <color rgb="00008000"/>
    </font>
    <font>
      <name val="Arial"/>
      <b val="1"/>
      <color rgb="000000FF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5" fillId="0" borderId="0" pivotButton="0" quotePrefix="0" xfId="0"/>
    <xf numFmtId="168" fontId="8" fillId="0" borderId="0" pivotButton="0" quotePrefix="0" xfId="0"/>
    <xf numFmtId="168" fontId="4" fillId="0" borderId="0" pivotButton="0" quotePrefix="0" xfId="0"/>
    <xf numFmtId="0" fontId="4" fillId="0" borderId="0" pivotButton="0" quotePrefix="0" xfId="0"/>
    <xf numFmtId="167" fontId="4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0" fontId="4" fillId="3" borderId="0" pivotButton="0" quotePrefix="0" xfId="0"/>
    <xf numFmtId="0" fontId="10" fillId="3" borderId="0" pivotButton="0" quotePrefix="0" xfId="0"/>
    <xf numFmtId="2" fontId="6" fillId="4" borderId="0" pivotButton="0" quotePrefix="0" xfId="0"/>
    <xf numFmtId="0" fontId="7" fillId="0" borderId="0" pivotButton="0" quotePrefix="0" xfId="0"/>
    <xf numFmtId="165" fontId="6" fillId="4" borderId="0" pivotButton="0" quotePrefix="0" xfId="0"/>
    <xf numFmtId="164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4" fillId="0" borderId="1" pivotButton="0" quotePrefix="0" xfId="0"/>
    <xf numFmtId="168" fontId="4" fillId="0" borderId="1" pivotButton="0" quotePrefix="0" xfId="0"/>
    <xf numFmtId="167" fontId="4" fillId="0" borderId="1" pivotButton="0" quotePrefix="0" xfId="0"/>
    <xf numFmtId="169" fontId="9" fillId="0" borderId="0" pivotButton="0" quotePrefix="0" xfId="0"/>
    <xf numFmtId="165" fontId="9" fillId="0" borderId="0" pivotButton="0" quotePrefix="0" xfId="0"/>
    <xf numFmtId="0" fontId="3" fillId="2" borderId="0" applyAlignment="1" pivotButton="0" quotePrefix="0" xfId="0">
      <alignment horizontal="center"/>
    </xf>
    <xf numFmtId="164" fontId="5" fillId="0" borderId="0" pivotButton="0" quotePrefix="0" xfId="0"/>
    <xf numFmtId="168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StepEdge Offshore Call Centre – Dashboard</t>
        </is>
      </c>
      <c r="B1" s="2" t="n"/>
      <c r="C1" s="2" t="n"/>
      <c r="D1" s="2" t="n"/>
      <c r="E1" s="2" t="n"/>
    </row>
    <row r="2">
      <c r="A2" s="3" t="inlineStr">
        <is>
          <t>All outputs are formulas driven by the Inputs sheet and the seat ramp on Monthly P&amp;L.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Metric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36 months</t>
        </is>
      </c>
    </row>
    <row r="5">
      <c r="A5" s="5" t="inlineStr">
        <is>
          <t>Revenue (R)</t>
        </is>
      </c>
      <c r="B5" s="6">
        <f>SUM('Monthly P&amp;L'!B7:M7)</f>
        <v/>
      </c>
      <c r="C5" s="6">
        <f>SUM('Monthly P&amp;L'!N7:Y7)</f>
        <v/>
      </c>
      <c r="D5" s="6">
        <f>SUM('Monthly P&amp;L'!Z7:AK7)</f>
        <v/>
      </c>
      <c r="E5" s="7">
        <f>SUM(B5:D5)</f>
        <v/>
      </c>
    </row>
    <row r="6">
      <c r="A6" s="5" t="inlineStr">
        <is>
          <t>Operating costs (R)</t>
        </is>
      </c>
      <c r="B6" s="6">
        <f>SUM('Monthly P&amp;L'!B12:M12)</f>
        <v/>
      </c>
      <c r="C6" s="6">
        <f>SUM('Monthly P&amp;L'!N12:Y12)</f>
        <v/>
      </c>
      <c r="D6" s="6">
        <f>SUM('Monthly P&amp;L'!Z12:AK12)</f>
        <v/>
      </c>
      <c r="E6" s="7">
        <f>SUM(B6:D6)</f>
        <v/>
      </c>
    </row>
    <row r="7">
      <c r="A7" s="5" t="inlineStr">
        <is>
          <t>GBS incentive (R)</t>
        </is>
      </c>
      <c r="B7" s="6">
        <f>SUM('Monthly P&amp;L'!B14:M14)</f>
        <v/>
      </c>
      <c r="C7" s="6">
        <f>SUM('Monthly P&amp;L'!N14:Y14)</f>
        <v/>
      </c>
      <c r="D7" s="6">
        <f>SUM('Monthly P&amp;L'!Z14:AK14)</f>
        <v/>
      </c>
      <c r="E7" s="7">
        <f>SUM(B7:D7)</f>
        <v/>
      </c>
    </row>
    <row r="8">
      <c r="A8" s="5" t="inlineStr">
        <is>
          <t>EBITDA pre-tax (R)</t>
        </is>
      </c>
      <c r="B8" s="6">
        <f>SUM('Monthly P&amp;L'!B15:M15)</f>
        <v/>
      </c>
      <c r="C8" s="6">
        <f>SUM('Monthly P&amp;L'!N15:Y15)</f>
        <v/>
      </c>
      <c r="D8" s="6">
        <f>SUM('Monthly P&amp;L'!Z15:AK15)</f>
        <v/>
      </c>
      <c r="E8" s="7">
        <f>SUM(B8:D8)</f>
        <v/>
      </c>
    </row>
    <row r="9">
      <c r="A9" s="5" t="inlineStr">
        <is>
          <t>Setup capex (R)</t>
        </is>
      </c>
      <c r="B9" s="6">
        <f>SUM('Monthly P&amp;L'!B17:M17)</f>
        <v/>
      </c>
      <c r="C9" s="6">
        <f>SUM('Monthly P&amp;L'!N17:Y17)</f>
        <v/>
      </c>
      <c r="D9" s="6">
        <f>SUM('Monthly P&amp;L'!Z17:AK17)</f>
        <v/>
      </c>
      <c r="E9" s="7">
        <f>SUM(B9:D9)</f>
        <v/>
      </c>
    </row>
    <row r="10">
      <c r="A10" s="5" t="inlineStr">
        <is>
          <t>Net cash flow (R)</t>
        </is>
      </c>
      <c r="B10" s="6">
        <f>SUM('Monthly P&amp;L'!B18:M18)</f>
        <v/>
      </c>
      <c r="C10" s="6">
        <f>SUM('Monthly P&amp;L'!N18:Y18)</f>
        <v/>
      </c>
      <c r="D10" s="6">
        <f>SUM('Monthly P&amp;L'!Z18:AK18)</f>
        <v/>
      </c>
      <c r="E10" s="7">
        <f>SUM(B10:D10)</f>
        <v/>
      </c>
    </row>
    <row r="11">
      <c r="A11" s="8" t="inlineStr">
        <is>
          <t>EBITDA margin</t>
        </is>
      </c>
      <c r="B11" s="9">
        <f>IFERROR(B8/B5,0)</f>
        <v/>
      </c>
      <c r="C11" s="9">
        <f>IFERROR(C8/C5,0)</f>
        <v/>
      </c>
      <c r="D11" s="9">
        <f>IFERROR(D8/D5,0)</f>
        <v/>
      </c>
      <c r="E11" s="9">
        <f>IFERROR(E8/E5,0)</f>
        <v/>
      </c>
    </row>
    <row r="12">
      <c r="A12" s="5" t="inlineStr">
        <is>
          <t>Billed seats at year end</t>
        </is>
      </c>
      <c r="B12" s="10">
        <f>'Monthly P&amp;L'!M4</f>
        <v/>
      </c>
      <c r="C12" s="10">
        <f>'Monthly P&amp;L'!Y4</f>
        <v/>
      </c>
      <c r="D12" s="10">
        <f>'Monthly P&amp;L'!AK4</f>
        <v/>
      </c>
      <c r="E12" s="2" t="n"/>
    </row>
    <row r="13">
      <c r="A13" s="2" t="n"/>
      <c r="B13" s="2" t="n"/>
      <c r="C13" s="2" t="n"/>
      <c r="D13" s="2" t="n"/>
      <c r="E13" s="2" t="n"/>
    </row>
    <row r="14">
      <c r="A14" s="8" t="inlineStr">
        <is>
          <t>Key indicators</t>
        </is>
      </c>
      <c r="B14" s="2" t="n"/>
      <c r="C14" s="2" t="n"/>
      <c r="D14" s="2" t="n"/>
      <c r="E14" s="2" t="n"/>
    </row>
    <row r="15">
      <c r="A15" s="5" t="inlineStr">
        <is>
          <t>Peak funding requirement (lowest cumulative cash, R)</t>
        </is>
      </c>
      <c r="B15" s="7">
        <f>MIN(0,MIN('Monthly P&amp;L'!B19:AK19))</f>
        <v/>
      </c>
      <c r="C15" s="2" t="n"/>
      <c r="D15" s="2" t="n"/>
      <c r="E15" s="2" t="n"/>
    </row>
    <row r="16">
      <c r="A16" s="5" t="inlineStr">
        <is>
          <t>Month of lowest cumulative cash</t>
        </is>
      </c>
      <c r="B16" s="2">
        <f>MATCH(MIN('Monthly P&amp;L'!B19:AK19),'Monthly P&amp;L'!B19:AK19,0)</f>
        <v/>
      </c>
      <c r="C16" s="2" t="n"/>
      <c r="D16" s="2" t="n"/>
      <c r="E16" s="2" t="n"/>
    </row>
    <row r="17">
      <c r="A17" s="5" t="inlineStr">
        <is>
          <t>First month with positive EBITDA</t>
        </is>
      </c>
      <c r="B17" s="2">
        <f>IF(COUNT('Monthly P&amp;L'!B20:AK20)=0,"Not within 36 months",MIN('Monthly P&amp;L'!B20:AK20))</f>
        <v/>
      </c>
      <c r="C17" s="2" t="n"/>
      <c r="D17" s="2" t="n"/>
      <c r="E17" s="2" t="n"/>
    </row>
    <row r="18">
      <c r="A18" s="5" t="inlineStr">
        <is>
          <t>Cash payback month (cumulative cash back above zero)</t>
        </is>
      </c>
      <c r="B18" s="2">
        <f>IF(COUNT('Monthly P&amp;L'!B21:AK21)=0,"Not within 36 months",MIN('Monthly P&amp;L'!B21:AK21))</f>
        <v/>
      </c>
      <c r="C18" s="2" t="n"/>
      <c r="D18" s="2" t="n"/>
      <c r="E18" s="2" t="n"/>
    </row>
    <row r="19">
      <c r="A19" s="5" t="inlineStr">
        <is>
          <t>Margin per staffed seat incl. GBS (R / month)</t>
        </is>
      </c>
      <c r="B19" s="6">
        <f>'Seat Economics'!B15</f>
        <v/>
      </c>
      <c r="C19" s="2" t="n"/>
      <c r="D19" s="2" t="n"/>
      <c r="E19" s="2" t="n"/>
    </row>
    <row r="20">
      <c r="A20" s="5" t="inlineStr">
        <is>
          <t>Margin % per seat (100% utilisation, excl. GBS)</t>
        </is>
      </c>
      <c r="B20" s="11">
        <f>'Seat Economics'!C12</f>
        <v/>
      </c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3" t="inlineStr">
        <is>
          <t>Illustrative model from public benchmarks (see research document). Not supplier quotes; excludes corporate tax, VAT and financing costs.</t>
        </is>
      </c>
      <c r="B22" s="2" t="n"/>
      <c r="C22" s="2" t="n"/>
      <c r="D22" s="2" t="n"/>
      <c r="E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62" customWidth="1" min="4" max="4"/>
  </cols>
  <sheetData>
    <row r="1">
      <c r="A1" s="1" t="inlineStr">
        <is>
          <t>StepEdge Offshore Call Centre – Inputs</t>
        </is>
      </c>
      <c r="B1" s="2" t="n"/>
      <c r="C1" s="2" t="n"/>
      <c r="D1" s="2" t="n"/>
    </row>
    <row r="2">
      <c r="A2" s="3" t="inlineStr">
        <is>
          <t>Legend: blue text on yellow = input you can change · black = formula · green = link from another sheet. All rand figures are per month unless stated.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 / note</t>
        </is>
      </c>
    </row>
    <row r="5">
      <c r="A5" s="12" t="inlineStr">
        <is>
          <t>Pricing &amp; FX</t>
        </is>
      </c>
      <c r="B5" s="13" t="n"/>
      <c r="C5" s="13" t="n"/>
      <c r="D5" s="13" t="n"/>
    </row>
    <row r="6">
      <c r="A6" s="5" t="inlineStr">
        <is>
          <t>Exchange rate</t>
        </is>
      </c>
      <c r="B6" s="14" t="n">
        <v>18</v>
      </c>
      <c r="C6" s="5" t="inlineStr">
        <is>
          <t>ZAR per US$</t>
        </is>
      </c>
      <c r="D6" s="15" t="inlineStr">
        <is>
          <t>Assumption – update to current rate</t>
        </is>
      </c>
    </row>
    <row r="7">
      <c r="A7" s="5" t="inlineStr">
        <is>
          <t>Price per dedicated seat</t>
        </is>
      </c>
      <c r="B7" s="16" t="n">
        <v>1600</v>
      </c>
      <c r="C7" s="5" t="inlineStr">
        <is>
          <t>US$ / seat / month</t>
        </is>
      </c>
      <c r="D7" s="15" t="inlineStr">
        <is>
          <t>Market range US$1,200–2,200 (CallForce, Afrishore, Callrica)</t>
        </is>
      </c>
    </row>
    <row r="8">
      <c r="A8" s="12" t="inlineStr">
        <is>
          <t>Agent cost</t>
        </is>
      </c>
      <c r="B8" s="13" t="n"/>
      <c r="C8" s="13" t="n"/>
      <c r="D8" s="13" t="n"/>
    </row>
    <row r="9">
      <c r="A9" s="5" t="inlineStr">
        <is>
          <t>Agent basic salary</t>
        </is>
      </c>
      <c r="B9" s="17" t="n">
        <v>9000</v>
      </c>
      <c r="C9" s="5" t="inlineStr">
        <is>
          <t>R / month</t>
        </is>
      </c>
      <c r="D9" s="15" t="inlineStr">
        <is>
          <t>SA 2026: entry R6.5k–8.5k, experienced R8.5k–12k (ShiftMate)</t>
        </is>
      </c>
    </row>
    <row r="10">
      <c r="A10" s="5" t="inlineStr">
        <is>
          <t>Loaded-cost multiplier</t>
        </is>
      </c>
      <c r="B10" s="18" t="n">
        <v>1.4</v>
      </c>
      <c r="C10" s="5" t="inlineStr">
        <is>
          <t>x basic</t>
        </is>
      </c>
      <c r="D10" s="15" t="inlineStr">
        <is>
          <t>UIF, SDL, leave, bonus, training. Industry 1.4–1.8x</t>
        </is>
      </c>
    </row>
    <row r="11">
      <c r="A11" s="12" t="inlineStr">
        <is>
          <t>Supervision</t>
        </is>
      </c>
      <c r="B11" s="13" t="n"/>
      <c r="C11" s="13" t="n"/>
      <c r="D11" s="13" t="n"/>
    </row>
    <row r="12">
      <c r="A12" s="5" t="inlineStr">
        <is>
          <t>Team leader salary</t>
        </is>
      </c>
      <c r="B12" s="17" t="n">
        <v>25000</v>
      </c>
      <c r="C12" s="5" t="inlineStr">
        <is>
          <t>R / month</t>
        </is>
      </c>
      <c r="D12" s="15" t="inlineStr">
        <is>
          <t>Assumption</t>
        </is>
      </c>
    </row>
    <row r="13">
      <c r="A13" s="5" t="inlineStr">
        <is>
          <t>Agents per team leader</t>
        </is>
      </c>
      <c r="B13" s="17" t="n">
        <v>15</v>
      </c>
      <c r="C13" s="5" t="inlineStr">
        <is>
          <t>agents</t>
        </is>
      </c>
      <c r="D13" s="15" t="inlineStr">
        <is>
          <t>Industry norm 12–15</t>
        </is>
      </c>
    </row>
    <row r="14">
      <c r="A14" s="5" t="inlineStr">
        <is>
          <t>QA / workforce mgmt per seat</t>
        </is>
      </c>
      <c r="B14" s="17" t="n">
        <v>470</v>
      </c>
      <c r="C14" s="5" t="inlineStr">
        <is>
          <t>R / seat</t>
        </is>
      </c>
      <c r="D14" s="15" t="inlineStr">
        <is>
          <t>Assumption</t>
        </is>
      </c>
    </row>
    <row r="15">
      <c r="A15" s="12" t="inlineStr">
        <is>
          <t>Seat running costs</t>
        </is>
      </c>
      <c r="B15" s="13" t="n"/>
      <c r="C15" s="13" t="n"/>
      <c r="D15" s="13" t="n"/>
    </row>
    <row r="16">
      <c r="A16" s="5" t="inlineStr">
        <is>
          <t>Office space per seat</t>
        </is>
      </c>
      <c r="B16" s="17" t="n">
        <v>1500</v>
      </c>
      <c r="C16" s="5" t="inlineStr">
        <is>
          <t>R / seat</t>
        </is>
      </c>
      <c r="D16" s="15" t="inlineStr">
        <is>
          <t>Serviced / shared office assumption</t>
        </is>
      </c>
    </row>
    <row r="17">
      <c r="A17" s="5" t="inlineStr">
        <is>
          <t>Backup power &amp; redundant connectivity per seat</t>
        </is>
      </c>
      <c r="B17" s="17" t="n">
        <v>1200</v>
      </c>
      <c r="C17" s="5" t="inlineStr">
        <is>
          <t>R / seat</t>
        </is>
      </c>
      <c r="D17" s="15" t="inlineStr">
        <is>
          <t>UPS/generator/solar + 2 lines</t>
        </is>
      </c>
    </row>
    <row r="18">
      <c r="A18" s="5" t="inlineStr">
        <is>
          <t>Technology &amp; telephony per seat</t>
        </is>
      </c>
      <c r="B18" s="17" t="n">
        <v>2000</v>
      </c>
      <c r="C18" s="5" t="inlineStr">
        <is>
          <t>R / seat</t>
        </is>
      </c>
      <c r="D18" s="15" t="inlineStr">
        <is>
          <t>CCaaS, CRM, international minutes, PC &amp; headset amortised</t>
        </is>
      </c>
    </row>
    <row r="19">
      <c r="A19" s="12" t="inlineStr">
        <is>
          <t>Fixed overheads</t>
        </is>
      </c>
      <c r="B19" s="13" t="n"/>
      <c r="C19" s="13" t="n"/>
      <c r="D19" s="13" t="n"/>
    </row>
    <row r="20">
      <c r="A20" s="5" t="inlineStr">
        <is>
          <t>Fixed overheads (management, UK/US sales, legal, admin)</t>
        </is>
      </c>
      <c r="B20" s="17" t="n">
        <v>75000</v>
      </c>
      <c r="C20" s="5" t="inlineStr">
        <is>
          <t>R / month</t>
        </is>
      </c>
      <c r="D20" s="15" t="inlineStr">
        <is>
          <t>Equals R1,500/seat at 50 seats</t>
        </is>
      </c>
    </row>
    <row r="21">
      <c r="A21" s="5" t="inlineStr">
        <is>
          <t>Reference seat count for per-seat view</t>
        </is>
      </c>
      <c r="B21" s="17" t="n">
        <v>50</v>
      </c>
      <c r="C21" s="5" t="inlineStr">
        <is>
          <t>seats</t>
        </is>
      </c>
      <c r="D21" s="15" t="inlineStr">
        <is>
          <t>Used only on Seat Economics sheet</t>
        </is>
      </c>
    </row>
    <row r="22">
      <c r="A22" s="12" t="inlineStr">
        <is>
          <t>Operations</t>
        </is>
      </c>
      <c r="B22" s="13" t="n"/>
      <c r="C22" s="13" t="n"/>
      <c r="D22" s="13" t="n"/>
    </row>
    <row r="23">
      <c r="A23" s="5" t="inlineStr">
        <is>
          <t>Seat utilisation (billed ÷ staffed)</t>
        </is>
      </c>
      <c r="B23" s="19" t="n">
        <v>0.9</v>
      </c>
      <c r="C23" s="5" t="inlineStr">
        <is>
          <t>%</t>
        </is>
      </c>
      <c r="D23" s="15" t="inlineStr">
        <is>
          <t>Target 80–90%</t>
        </is>
      </c>
    </row>
    <row r="24">
      <c r="A24" s="5" t="inlineStr">
        <is>
          <t>Annual staff attrition</t>
        </is>
      </c>
      <c r="B24" s="19" t="n">
        <v>0.4</v>
      </c>
      <c r="C24" s="5" t="inlineStr">
        <is>
          <t>% / year</t>
        </is>
      </c>
      <c r="D24" s="15" t="inlineStr">
        <is>
          <t>SA call centres 30–50%</t>
        </is>
      </c>
    </row>
    <row r="25">
      <c r="A25" s="5" t="inlineStr">
        <is>
          <t>Training cost per new hire</t>
        </is>
      </c>
      <c r="B25" s="17" t="n">
        <v>14500</v>
      </c>
      <c r="C25" s="5" t="inlineStr">
        <is>
          <t>R / hire</t>
        </is>
      </c>
      <c r="D25" s="15" t="inlineStr">
        <is>
          <t>~5 weeks unbilled loaded wage</t>
        </is>
      </c>
    </row>
    <row r="26">
      <c r="A26" s="5" t="inlineStr">
        <is>
          <t>Setup capex per new seat</t>
        </is>
      </c>
      <c r="B26" s="17" t="n">
        <v>18000</v>
      </c>
      <c r="C26" s="5" t="inlineStr">
        <is>
          <t>R / seat (once-off)</t>
        </is>
      </c>
      <c r="D26" s="15" t="inlineStr">
        <is>
          <t>PC, headset, furniture, licences setup</t>
        </is>
      </c>
    </row>
    <row r="27">
      <c r="A27" s="12" t="inlineStr">
        <is>
          <t>GBS incentive</t>
        </is>
      </c>
      <c r="B27" s="13" t="n"/>
      <c r="C27" s="13" t="n"/>
      <c r="D27" s="13" t="n"/>
    </row>
    <row r="28">
      <c r="A28" s="5" t="inlineStr">
        <is>
          <t>Include GBS incentive? (1 = yes, 0 = no)</t>
        </is>
      </c>
      <c r="B28" s="17" t="n">
        <v>1</v>
      </c>
      <c r="C28" s="5" t="inlineStr">
        <is>
          <t>flag</t>
        </is>
      </c>
      <c r="D28" s="15" t="inlineStr">
        <is>
          <t>Requires 3-yr offshore contract, 50 jobs in 3 yrs, B-BBEE</t>
        </is>
      </c>
    </row>
    <row r="29">
      <c r="A29" s="5" t="inlineStr">
        <is>
          <t>GBS grant per offshore job over 5 years</t>
        </is>
      </c>
      <c r="B29" s="17" t="n">
        <v>134000</v>
      </c>
      <c r="C29" s="5" t="inlineStr">
        <is>
          <t>R / job</t>
        </is>
      </c>
      <c r="D29" s="15" t="inlineStr">
        <is>
          <t>dtic: R134k (non-complex) to R280k (highly complex)</t>
        </is>
      </c>
    </row>
    <row r="30">
      <c r="A30" s="5" t="inlineStr">
        <is>
          <t>First month incentive is received</t>
        </is>
      </c>
      <c r="B30" s="17" t="n">
        <v>19</v>
      </c>
      <c r="C30" s="5" t="inlineStr">
        <is>
          <t>month #</t>
        </is>
      </c>
      <c r="D30" s="15" t="inlineStr">
        <is>
          <t>Assumption: after first 3-yr contract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Unit economics of one billed seat (per month)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Line</t>
        </is>
      </c>
      <c r="B3" s="4" t="inlineStr">
        <is>
          <t>R / month</t>
        </is>
      </c>
      <c r="C3" s="4" t="inlineStr">
        <is>
          <t>% of price</t>
        </is>
      </c>
      <c r="D3" s="2" t="n"/>
      <c r="E3" s="2" t="n"/>
      <c r="F3" s="2" t="n"/>
    </row>
    <row r="4">
      <c r="A4" s="5" t="inlineStr">
        <is>
          <t>Seat price (ZAR)</t>
        </is>
      </c>
      <c r="B4" s="6">
        <f>Inputs!$B$7*Inputs!$B$6</f>
        <v/>
      </c>
      <c r="C4" s="20">
        <f>IFERROR(B4/$B$4,0)</f>
        <v/>
      </c>
      <c r="D4" s="2" t="n"/>
      <c r="E4" s="2" t="n"/>
      <c r="F4" s="2" t="n"/>
    </row>
    <row r="5">
      <c r="A5" s="5" t="inlineStr">
        <is>
          <t>Agent wage (loaded)</t>
        </is>
      </c>
      <c r="B5" s="21">
        <f>-Inputs!$B$9*Inputs!$B$10</f>
        <v/>
      </c>
      <c r="C5" s="20">
        <f>IFERROR(B5/$B$4,0)</f>
        <v/>
      </c>
      <c r="D5" s="2" t="n"/>
      <c r="E5" s="2" t="n"/>
      <c r="F5" s="2" t="n"/>
    </row>
    <row r="6">
      <c r="A6" s="5" t="inlineStr">
        <is>
          <t>Team lead &amp; QA</t>
        </is>
      </c>
      <c r="B6" s="21">
        <f>-(Inputs!$B$12*Inputs!$B$10/Inputs!$B$13+Inputs!$B$14)</f>
        <v/>
      </c>
      <c r="C6" s="20">
        <f>IFERROR(B6/$B$4,0)</f>
        <v/>
      </c>
      <c r="D6" s="2" t="n"/>
      <c r="E6" s="2" t="n"/>
      <c r="F6" s="2" t="n"/>
    </row>
    <row r="7">
      <c r="A7" s="5" t="inlineStr">
        <is>
          <t>Office space</t>
        </is>
      </c>
      <c r="B7" s="21">
        <f>-Inputs!$B$16</f>
        <v/>
      </c>
      <c r="C7" s="20">
        <f>IFERROR(B7/$B$4,0)</f>
        <v/>
      </c>
      <c r="D7" s="2" t="n"/>
      <c r="E7" s="2" t="n"/>
      <c r="F7" s="2" t="n"/>
    </row>
    <row r="8">
      <c r="A8" s="5" t="inlineStr">
        <is>
          <t>Power &amp; connectivity</t>
        </is>
      </c>
      <c r="B8" s="21">
        <f>-Inputs!$B$17</f>
        <v/>
      </c>
      <c r="C8" s="20">
        <f>IFERROR(B8/$B$4,0)</f>
        <v/>
      </c>
      <c r="D8" s="2" t="n"/>
      <c r="E8" s="2" t="n"/>
      <c r="F8" s="2" t="n"/>
    </row>
    <row r="9">
      <c r="A9" s="5" t="inlineStr">
        <is>
          <t>Technology &amp; telephony</t>
        </is>
      </c>
      <c r="B9" s="21">
        <f>-Inputs!$B$18</f>
        <v/>
      </c>
      <c r="C9" s="20">
        <f>IFERROR(B9/$B$4,0)</f>
        <v/>
      </c>
      <c r="D9" s="2" t="n"/>
      <c r="E9" s="2" t="n"/>
      <c r="F9" s="2" t="n"/>
    </row>
    <row r="10">
      <c r="A10" s="5" t="inlineStr">
        <is>
          <t>Fixed overhead allocation</t>
        </is>
      </c>
      <c r="B10" s="21">
        <f>-Inputs!$B$20/Inputs!$B$21</f>
        <v/>
      </c>
      <c r="C10" s="20">
        <f>IFERROR(B10/$B$4,0)</f>
        <v/>
      </c>
      <c r="D10" s="2" t="n"/>
      <c r="E10" s="2" t="n"/>
      <c r="F10" s="2" t="n"/>
    </row>
    <row r="11">
      <c r="A11" s="22" t="inlineStr">
        <is>
          <t>Total cost per seat</t>
        </is>
      </c>
      <c r="B11" s="23">
        <f>-SUM(B5:B10)</f>
        <v/>
      </c>
      <c r="C11" s="24">
        <f>IFERROR(B11/$B$4,0)</f>
        <v/>
      </c>
      <c r="D11" s="2" t="n"/>
      <c r="E11" s="2" t="n"/>
      <c r="F11" s="2" t="n"/>
    </row>
    <row r="12">
      <c r="A12" s="8" t="inlineStr">
        <is>
          <t>Margin per seat (100% utilisation)</t>
        </is>
      </c>
      <c r="B12" s="7">
        <f>B4-B11</f>
        <v/>
      </c>
      <c r="C12" s="9">
        <f>IFERROR(B12/$B$4,0)</f>
        <v/>
      </c>
      <c r="D12" s="2" t="n"/>
      <c r="E12" s="2" t="n"/>
      <c r="F12" s="2" t="n"/>
    </row>
    <row r="13">
      <c r="A13" s="8" t="inlineStr">
        <is>
          <t>Margin per staffed seat at utilisation</t>
        </is>
      </c>
      <c r="B13" s="7">
        <f>B4*Inputs!$B$23-B11</f>
        <v/>
      </c>
      <c r="C13" s="9">
        <f>IFERROR(B13/$B$4,0)</f>
        <v/>
      </c>
      <c r="D13" s="2" t="n"/>
      <c r="E13" s="2" t="n"/>
      <c r="F13" s="2" t="n"/>
    </row>
    <row r="14">
      <c r="A14" s="8" t="inlineStr">
        <is>
          <t>GBS incentive per job (5-yr average)</t>
        </is>
      </c>
      <c r="B14" s="7">
        <f>Inputs!$B$29/60*Inputs!$B$28</f>
        <v/>
      </c>
      <c r="C14" s="9">
        <f>IFERROR(B14/$B$4,0)</f>
        <v/>
      </c>
      <c r="D14" s="2" t="n"/>
      <c r="E14" s="2" t="n"/>
      <c r="F14" s="2" t="n"/>
    </row>
    <row r="15">
      <c r="A15" s="8" t="inlineStr">
        <is>
          <t>Margin per staffed seat incl. GBS</t>
        </is>
      </c>
      <c r="B15" s="7">
        <f>B13+B14</f>
        <v/>
      </c>
      <c r="C15" s="9">
        <f>IFERROR(B15/$B$4,0)</f>
        <v/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Note: GBS grant tapers over 5 years; a flat average is a simplification. Utilisation means part of staffed capacity is unbilled.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8" t="inlineStr">
        <is>
          <t>Sensitivity: margin % per seat (100% utilisation, excl. GBS) – price vs exchange rate</t>
        </is>
      </c>
      <c r="B19" s="2" t="n"/>
      <c r="C19" s="2" t="n"/>
      <c r="D19" s="2" t="n"/>
      <c r="E19" s="2" t="n"/>
      <c r="F19" s="2" t="n"/>
    </row>
    <row r="20">
      <c r="A20" s="8" t="inlineStr">
        <is>
          <t>Price US$ ↓ / ZAR per US$ →</t>
        </is>
      </c>
      <c r="B20" s="25" t="n">
        <v>16</v>
      </c>
      <c r="C20" s="25" t="n">
        <v>17</v>
      </c>
      <c r="D20" s="25" t="n">
        <v>18</v>
      </c>
      <c r="E20" s="25" t="n">
        <v>19</v>
      </c>
      <c r="F20" s="25" t="n">
        <v>20</v>
      </c>
    </row>
    <row r="21">
      <c r="A21" s="26" t="n">
        <v>1200</v>
      </c>
      <c r="B21" s="20">
        <f>IFERROR(($A21*B$20-$B$11)/($A21*B$20),0)</f>
        <v/>
      </c>
      <c r="C21" s="20">
        <f>IFERROR(($A21*C$20-$B$11)/($A21*C$20),0)</f>
        <v/>
      </c>
      <c r="D21" s="20">
        <f>IFERROR(($A21*D$20-$B$11)/($A21*D$20),0)</f>
        <v/>
      </c>
      <c r="E21" s="20">
        <f>IFERROR(($A21*E$20-$B$11)/($A21*E$20),0)</f>
        <v/>
      </c>
      <c r="F21" s="20">
        <f>IFERROR(($A21*F$20-$B$11)/($A21*F$20),0)</f>
        <v/>
      </c>
    </row>
    <row r="22">
      <c r="A22" s="26" t="n">
        <v>1400</v>
      </c>
      <c r="B22" s="20">
        <f>IFERROR(($A22*B$20-$B$11)/($A22*B$20),0)</f>
        <v/>
      </c>
      <c r="C22" s="20">
        <f>IFERROR(($A22*C$20-$B$11)/($A22*C$20),0)</f>
        <v/>
      </c>
      <c r="D22" s="20">
        <f>IFERROR(($A22*D$20-$B$11)/($A22*D$20),0)</f>
        <v/>
      </c>
      <c r="E22" s="20">
        <f>IFERROR(($A22*E$20-$B$11)/($A22*E$20),0)</f>
        <v/>
      </c>
      <c r="F22" s="20">
        <f>IFERROR(($A22*F$20-$B$11)/($A22*F$20),0)</f>
        <v/>
      </c>
    </row>
    <row r="23">
      <c r="A23" s="26" t="n">
        <v>1600</v>
      </c>
      <c r="B23" s="20">
        <f>IFERROR(($A23*B$20-$B$11)/($A23*B$20),0)</f>
        <v/>
      </c>
      <c r="C23" s="20">
        <f>IFERROR(($A23*C$20-$B$11)/($A23*C$20),0)</f>
        <v/>
      </c>
      <c r="D23" s="20">
        <f>IFERROR(($A23*D$20-$B$11)/($A23*D$20),0)</f>
        <v/>
      </c>
      <c r="E23" s="20">
        <f>IFERROR(($A23*E$20-$B$11)/($A23*E$20),0)</f>
        <v/>
      </c>
      <c r="F23" s="20">
        <f>IFERROR(($A23*F$20-$B$11)/($A23*F$20),0)</f>
        <v/>
      </c>
    </row>
    <row r="24">
      <c r="A24" s="26" t="n">
        <v>1800</v>
      </c>
      <c r="B24" s="20">
        <f>IFERROR(($A24*B$20-$B$11)/($A24*B$20),0)</f>
        <v/>
      </c>
      <c r="C24" s="20">
        <f>IFERROR(($A24*C$20-$B$11)/($A24*C$20),0)</f>
        <v/>
      </c>
      <c r="D24" s="20">
        <f>IFERROR(($A24*D$20-$B$11)/($A24*D$20),0)</f>
        <v/>
      </c>
      <c r="E24" s="20">
        <f>IFERROR(($A24*E$20-$B$11)/($A24*E$20),0)</f>
        <v/>
      </c>
      <c r="F24" s="20">
        <f>IFERROR(($A24*F$20-$B$11)/($A24*F$20),0)</f>
        <v/>
      </c>
    </row>
    <row r="25">
      <c r="A25" s="26" t="n">
        <v>2000</v>
      </c>
      <c r="B25" s="20">
        <f>IFERROR(($A25*B$20-$B$11)/($A25*B$20),0)</f>
        <v/>
      </c>
      <c r="C25" s="20">
        <f>IFERROR(($A25*C$20-$B$11)/($A25*C$20),0)</f>
        <v/>
      </c>
      <c r="D25" s="20">
        <f>IFERROR(($A25*D$20-$B$11)/($A25*D$20),0)</f>
        <v/>
      </c>
      <c r="E25" s="20">
        <f>IFERROR(($A25*E$20-$B$11)/($A25*E$20),0)</f>
        <v/>
      </c>
      <c r="F25" s="20">
        <f>IFERROR(($A25*F$20-$B$11)/($A25*F$20),0)</f>
        <v/>
      </c>
    </row>
    <row r="26">
      <c r="A26" s="26" t="n">
        <v>2200</v>
      </c>
      <c r="B26" s="20">
        <f>IFERROR(($A26*B$20-$B$11)/($A26*B$20),0)</f>
        <v/>
      </c>
      <c r="C26" s="20">
        <f>IFERROR(($A26*C$20-$B$11)/($A26*C$20),0)</f>
        <v/>
      </c>
      <c r="D26" s="20">
        <f>IFERROR(($A26*D$20-$B$11)/($A26*D$20),0)</f>
        <v/>
      </c>
      <c r="E26" s="20">
        <f>IFERROR(($A26*E$20-$B$11)/($A26*E$20),0)</f>
        <v/>
      </c>
      <c r="F26" s="20">
        <f>IFERROR(($A26*F$20-$B$11)/($A26*F$20),0)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36-month P&amp;L and cash (ZAR) – enter billed seat ramp in row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8" t="inlineStr">
        <is>
          <t>Month</t>
        </is>
      </c>
      <c r="B3" s="27" t="n">
        <v>1</v>
      </c>
      <c r="C3" s="27" t="n">
        <v>2</v>
      </c>
      <c r="D3" s="27" t="n">
        <v>3</v>
      </c>
      <c r="E3" s="27" t="n">
        <v>4</v>
      </c>
      <c r="F3" s="27" t="n">
        <v>5</v>
      </c>
      <c r="G3" s="27" t="n">
        <v>6</v>
      </c>
      <c r="H3" s="27" t="n">
        <v>7</v>
      </c>
      <c r="I3" s="27" t="n">
        <v>8</v>
      </c>
      <c r="J3" s="27" t="n">
        <v>9</v>
      </c>
      <c r="K3" s="27" t="n">
        <v>10</v>
      </c>
      <c r="L3" s="27" t="n">
        <v>11</v>
      </c>
      <c r="M3" s="27" t="n">
        <v>12</v>
      </c>
      <c r="N3" s="27" t="n">
        <v>13</v>
      </c>
      <c r="O3" s="27" t="n">
        <v>14</v>
      </c>
      <c r="P3" s="27" t="n">
        <v>15</v>
      </c>
      <c r="Q3" s="27" t="n">
        <v>16</v>
      </c>
      <c r="R3" s="27" t="n">
        <v>17</v>
      </c>
      <c r="S3" s="27" t="n">
        <v>18</v>
      </c>
      <c r="T3" s="27" t="n">
        <v>19</v>
      </c>
      <c r="U3" s="27" t="n">
        <v>20</v>
      </c>
      <c r="V3" s="27" t="n">
        <v>21</v>
      </c>
      <c r="W3" s="27" t="n">
        <v>22</v>
      </c>
      <c r="X3" s="27" t="n">
        <v>23</v>
      </c>
      <c r="Y3" s="27" t="n">
        <v>24</v>
      </c>
      <c r="Z3" s="27" t="n">
        <v>25</v>
      </c>
      <c r="AA3" s="27" t="n">
        <v>26</v>
      </c>
      <c r="AB3" s="27" t="n">
        <v>27</v>
      </c>
      <c r="AC3" s="27" t="n">
        <v>28</v>
      </c>
      <c r="AD3" s="27" t="n">
        <v>29</v>
      </c>
      <c r="AE3" s="27" t="n">
        <v>30</v>
      </c>
      <c r="AF3" s="27" t="n">
        <v>31</v>
      </c>
      <c r="AG3" s="27" t="n">
        <v>32</v>
      </c>
      <c r="AH3" s="27" t="n">
        <v>33</v>
      </c>
      <c r="AI3" s="27" t="n">
        <v>34</v>
      </c>
      <c r="AJ3" s="27" t="n">
        <v>35</v>
      </c>
      <c r="AK3" s="27" t="n">
        <v>36</v>
      </c>
    </row>
    <row r="4">
      <c r="A4" s="5" t="inlineStr">
        <is>
          <t>Billed seats (input)</t>
        </is>
      </c>
      <c r="B4" s="17" t="n">
        <v>5</v>
      </c>
      <c r="C4" s="17" t="n">
        <v>5</v>
      </c>
      <c r="D4" s="17" t="n">
        <v>10</v>
      </c>
      <c r="E4" s="17" t="n">
        <v>10</v>
      </c>
      <c r="F4" s="17" t="n">
        <v>10</v>
      </c>
      <c r="G4" s="17" t="n">
        <v>15</v>
      </c>
      <c r="H4" s="17" t="n">
        <v>15</v>
      </c>
      <c r="I4" s="17" t="n">
        <v>15</v>
      </c>
      <c r="J4" s="17" t="n">
        <v>25</v>
      </c>
      <c r="K4" s="17" t="n">
        <v>25</v>
      </c>
      <c r="L4" s="17" t="n">
        <v>25</v>
      </c>
      <c r="M4" s="17" t="n">
        <v>30</v>
      </c>
      <c r="N4" s="17" t="n">
        <v>30</v>
      </c>
      <c r="O4" s="17" t="n">
        <v>30</v>
      </c>
      <c r="P4" s="17" t="n">
        <v>40</v>
      </c>
      <c r="Q4" s="17" t="n">
        <v>40</v>
      </c>
      <c r="R4" s="17" t="n">
        <v>40</v>
      </c>
      <c r="S4" s="17" t="n">
        <v>50</v>
      </c>
      <c r="T4" s="17" t="n">
        <v>50</v>
      </c>
      <c r="U4" s="17" t="n">
        <v>50</v>
      </c>
      <c r="V4" s="17" t="n">
        <v>50</v>
      </c>
      <c r="W4" s="17" t="n">
        <v>50</v>
      </c>
      <c r="X4" s="17" t="n">
        <v>50</v>
      </c>
      <c r="Y4" s="17" t="n">
        <v>60</v>
      </c>
      <c r="Z4" s="17" t="n">
        <v>60</v>
      </c>
      <c r="AA4" s="17" t="n">
        <v>60</v>
      </c>
      <c r="AB4" s="17" t="n">
        <v>60</v>
      </c>
      <c r="AC4" s="17" t="n">
        <v>60</v>
      </c>
      <c r="AD4" s="17" t="n">
        <v>60</v>
      </c>
      <c r="AE4" s="17" t="n">
        <v>70</v>
      </c>
      <c r="AF4" s="17" t="n">
        <v>70</v>
      </c>
      <c r="AG4" s="17" t="n">
        <v>70</v>
      </c>
      <c r="AH4" s="17" t="n">
        <v>70</v>
      </c>
      <c r="AI4" s="17" t="n">
        <v>70</v>
      </c>
      <c r="AJ4" s="17" t="n">
        <v>70</v>
      </c>
      <c r="AK4" s="17" t="n">
        <v>80</v>
      </c>
    </row>
    <row r="5">
      <c r="A5" s="5" t="inlineStr">
        <is>
          <t>Staffed seats</t>
        </is>
      </c>
      <c r="B5" s="28">
        <f>IFERROR(ROUNDUP(B4/Inputs!$B$23,0),0)</f>
        <v/>
      </c>
      <c r="C5" s="28">
        <f>IFERROR(ROUNDUP(C4/Inputs!$B$23,0),0)</f>
        <v/>
      </c>
      <c r="D5" s="28">
        <f>IFERROR(ROUNDUP(D4/Inputs!$B$23,0),0)</f>
        <v/>
      </c>
      <c r="E5" s="28">
        <f>IFERROR(ROUNDUP(E4/Inputs!$B$23,0),0)</f>
        <v/>
      </c>
      <c r="F5" s="28">
        <f>IFERROR(ROUNDUP(F4/Inputs!$B$23,0),0)</f>
        <v/>
      </c>
      <c r="G5" s="28">
        <f>IFERROR(ROUNDUP(G4/Inputs!$B$23,0),0)</f>
        <v/>
      </c>
      <c r="H5" s="28">
        <f>IFERROR(ROUNDUP(H4/Inputs!$B$23,0),0)</f>
        <v/>
      </c>
      <c r="I5" s="28">
        <f>IFERROR(ROUNDUP(I4/Inputs!$B$23,0),0)</f>
        <v/>
      </c>
      <c r="J5" s="28">
        <f>IFERROR(ROUNDUP(J4/Inputs!$B$23,0),0)</f>
        <v/>
      </c>
      <c r="K5" s="28">
        <f>IFERROR(ROUNDUP(K4/Inputs!$B$23,0),0)</f>
        <v/>
      </c>
      <c r="L5" s="28">
        <f>IFERROR(ROUNDUP(L4/Inputs!$B$23,0),0)</f>
        <v/>
      </c>
      <c r="M5" s="28">
        <f>IFERROR(ROUNDUP(M4/Inputs!$B$23,0),0)</f>
        <v/>
      </c>
      <c r="N5" s="28">
        <f>IFERROR(ROUNDUP(N4/Inputs!$B$23,0),0)</f>
        <v/>
      </c>
      <c r="O5" s="28">
        <f>IFERROR(ROUNDUP(O4/Inputs!$B$23,0),0)</f>
        <v/>
      </c>
      <c r="P5" s="28">
        <f>IFERROR(ROUNDUP(P4/Inputs!$B$23,0),0)</f>
        <v/>
      </c>
      <c r="Q5" s="28">
        <f>IFERROR(ROUNDUP(Q4/Inputs!$B$23,0),0)</f>
        <v/>
      </c>
      <c r="R5" s="28">
        <f>IFERROR(ROUNDUP(R4/Inputs!$B$23,0),0)</f>
        <v/>
      </c>
      <c r="S5" s="28">
        <f>IFERROR(ROUNDUP(S4/Inputs!$B$23,0),0)</f>
        <v/>
      </c>
      <c r="T5" s="28">
        <f>IFERROR(ROUNDUP(T4/Inputs!$B$23,0),0)</f>
        <v/>
      </c>
      <c r="U5" s="28">
        <f>IFERROR(ROUNDUP(U4/Inputs!$B$23,0),0)</f>
        <v/>
      </c>
      <c r="V5" s="28">
        <f>IFERROR(ROUNDUP(V4/Inputs!$B$23,0),0)</f>
        <v/>
      </c>
      <c r="W5" s="28">
        <f>IFERROR(ROUNDUP(W4/Inputs!$B$23,0),0)</f>
        <v/>
      </c>
      <c r="X5" s="28">
        <f>IFERROR(ROUNDUP(X4/Inputs!$B$23,0),0)</f>
        <v/>
      </c>
      <c r="Y5" s="28">
        <f>IFERROR(ROUNDUP(Y4/Inputs!$B$23,0),0)</f>
        <v/>
      </c>
      <c r="Z5" s="28">
        <f>IFERROR(ROUNDUP(Z4/Inputs!$B$23,0),0)</f>
        <v/>
      </c>
      <c r="AA5" s="28">
        <f>IFERROR(ROUNDUP(AA4/Inputs!$B$23,0),0)</f>
        <v/>
      </c>
      <c r="AB5" s="28">
        <f>IFERROR(ROUNDUP(AB4/Inputs!$B$23,0),0)</f>
        <v/>
      </c>
      <c r="AC5" s="28">
        <f>IFERROR(ROUNDUP(AC4/Inputs!$B$23,0),0)</f>
        <v/>
      </c>
      <c r="AD5" s="28">
        <f>IFERROR(ROUNDUP(AD4/Inputs!$B$23,0),0)</f>
        <v/>
      </c>
      <c r="AE5" s="28">
        <f>IFERROR(ROUNDUP(AE4/Inputs!$B$23,0),0)</f>
        <v/>
      </c>
      <c r="AF5" s="28">
        <f>IFERROR(ROUNDUP(AF4/Inputs!$B$23,0),0)</f>
        <v/>
      </c>
      <c r="AG5" s="28">
        <f>IFERROR(ROUNDUP(AG4/Inputs!$B$23,0),0)</f>
        <v/>
      </c>
      <c r="AH5" s="28">
        <f>IFERROR(ROUNDUP(AH4/Inputs!$B$23,0),0)</f>
        <v/>
      </c>
      <c r="AI5" s="28">
        <f>IFERROR(ROUNDUP(AI4/Inputs!$B$23,0),0)</f>
        <v/>
      </c>
      <c r="AJ5" s="28">
        <f>IFERROR(ROUNDUP(AJ4/Inputs!$B$23,0),0)</f>
        <v/>
      </c>
      <c r="AK5" s="28">
        <f>IFERROR(ROUNDUP(AK4/Inputs!$B$23,0),0)</f>
        <v/>
      </c>
    </row>
    <row r="6">
      <c r="A6" s="5" t="inlineStr">
        <is>
          <t>New seats added</t>
        </is>
      </c>
      <c r="B6" s="28">
        <f>MAX(0,B5-0)</f>
        <v/>
      </c>
      <c r="C6" s="28">
        <f>MAX(0,C5-B5)</f>
        <v/>
      </c>
      <c r="D6" s="28">
        <f>MAX(0,D5-C5)</f>
        <v/>
      </c>
      <c r="E6" s="28">
        <f>MAX(0,E5-D5)</f>
        <v/>
      </c>
      <c r="F6" s="28">
        <f>MAX(0,F5-E5)</f>
        <v/>
      </c>
      <c r="G6" s="28">
        <f>MAX(0,G5-F5)</f>
        <v/>
      </c>
      <c r="H6" s="28">
        <f>MAX(0,H5-G5)</f>
        <v/>
      </c>
      <c r="I6" s="28">
        <f>MAX(0,I5-H5)</f>
        <v/>
      </c>
      <c r="J6" s="28">
        <f>MAX(0,J5-I5)</f>
        <v/>
      </c>
      <c r="K6" s="28">
        <f>MAX(0,K5-J5)</f>
        <v/>
      </c>
      <c r="L6" s="28">
        <f>MAX(0,L5-K5)</f>
        <v/>
      </c>
      <c r="M6" s="28">
        <f>MAX(0,M5-L5)</f>
        <v/>
      </c>
      <c r="N6" s="28">
        <f>MAX(0,N5-M5)</f>
        <v/>
      </c>
      <c r="O6" s="28">
        <f>MAX(0,O5-N5)</f>
        <v/>
      </c>
      <c r="P6" s="28">
        <f>MAX(0,P5-O5)</f>
        <v/>
      </c>
      <c r="Q6" s="28">
        <f>MAX(0,Q5-P5)</f>
        <v/>
      </c>
      <c r="R6" s="28">
        <f>MAX(0,R5-Q5)</f>
        <v/>
      </c>
      <c r="S6" s="28">
        <f>MAX(0,S5-R5)</f>
        <v/>
      </c>
      <c r="T6" s="28">
        <f>MAX(0,T5-S5)</f>
        <v/>
      </c>
      <c r="U6" s="28">
        <f>MAX(0,U5-T5)</f>
        <v/>
      </c>
      <c r="V6" s="28">
        <f>MAX(0,V5-U5)</f>
        <v/>
      </c>
      <c r="W6" s="28">
        <f>MAX(0,W5-V5)</f>
        <v/>
      </c>
      <c r="X6" s="28">
        <f>MAX(0,X5-W5)</f>
        <v/>
      </c>
      <c r="Y6" s="28">
        <f>MAX(0,Y5-X5)</f>
        <v/>
      </c>
      <c r="Z6" s="28">
        <f>MAX(0,Z5-Y5)</f>
        <v/>
      </c>
      <c r="AA6" s="28">
        <f>MAX(0,AA5-Z5)</f>
        <v/>
      </c>
      <c r="AB6" s="28">
        <f>MAX(0,AB5-AA5)</f>
        <v/>
      </c>
      <c r="AC6" s="28">
        <f>MAX(0,AC5-AB5)</f>
        <v/>
      </c>
      <c r="AD6" s="28">
        <f>MAX(0,AD5-AC5)</f>
        <v/>
      </c>
      <c r="AE6" s="28">
        <f>MAX(0,AE5-AD5)</f>
        <v/>
      </c>
      <c r="AF6" s="28">
        <f>MAX(0,AF5-AE5)</f>
        <v/>
      </c>
      <c r="AG6" s="28">
        <f>MAX(0,AG5-AF5)</f>
        <v/>
      </c>
      <c r="AH6" s="28">
        <f>MAX(0,AH5-AG5)</f>
        <v/>
      </c>
      <c r="AI6" s="28">
        <f>MAX(0,AI5-AH5)</f>
        <v/>
      </c>
      <c r="AJ6" s="28">
        <f>MAX(0,AJ5-AI5)</f>
        <v/>
      </c>
      <c r="AK6" s="28">
        <f>MAX(0,AK5-AJ5)</f>
        <v/>
      </c>
    </row>
    <row r="7">
      <c r="A7" s="8" t="inlineStr">
        <is>
          <t>Revenue</t>
        </is>
      </c>
      <c r="B7" s="7">
        <f>B4*Inputs!$B$7*Inputs!$B$6</f>
        <v/>
      </c>
      <c r="C7" s="7">
        <f>C4*Inputs!$B$7*Inputs!$B$6</f>
        <v/>
      </c>
      <c r="D7" s="7">
        <f>D4*Inputs!$B$7*Inputs!$B$6</f>
        <v/>
      </c>
      <c r="E7" s="7">
        <f>E4*Inputs!$B$7*Inputs!$B$6</f>
        <v/>
      </c>
      <c r="F7" s="7">
        <f>F4*Inputs!$B$7*Inputs!$B$6</f>
        <v/>
      </c>
      <c r="G7" s="7">
        <f>G4*Inputs!$B$7*Inputs!$B$6</f>
        <v/>
      </c>
      <c r="H7" s="7">
        <f>H4*Inputs!$B$7*Inputs!$B$6</f>
        <v/>
      </c>
      <c r="I7" s="7">
        <f>I4*Inputs!$B$7*Inputs!$B$6</f>
        <v/>
      </c>
      <c r="J7" s="7">
        <f>J4*Inputs!$B$7*Inputs!$B$6</f>
        <v/>
      </c>
      <c r="K7" s="7">
        <f>K4*Inputs!$B$7*Inputs!$B$6</f>
        <v/>
      </c>
      <c r="L7" s="7">
        <f>L4*Inputs!$B$7*Inputs!$B$6</f>
        <v/>
      </c>
      <c r="M7" s="7">
        <f>M4*Inputs!$B$7*Inputs!$B$6</f>
        <v/>
      </c>
      <c r="N7" s="7">
        <f>N4*Inputs!$B$7*Inputs!$B$6</f>
        <v/>
      </c>
      <c r="O7" s="7">
        <f>O4*Inputs!$B$7*Inputs!$B$6</f>
        <v/>
      </c>
      <c r="P7" s="7">
        <f>P4*Inputs!$B$7*Inputs!$B$6</f>
        <v/>
      </c>
      <c r="Q7" s="7">
        <f>Q4*Inputs!$B$7*Inputs!$B$6</f>
        <v/>
      </c>
      <c r="R7" s="7">
        <f>R4*Inputs!$B$7*Inputs!$B$6</f>
        <v/>
      </c>
      <c r="S7" s="7">
        <f>S4*Inputs!$B$7*Inputs!$B$6</f>
        <v/>
      </c>
      <c r="T7" s="7">
        <f>T4*Inputs!$B$7*Inputs!$B$6</f>
        <v/>
      </c>
      <c r="U7" s="7">
        <f>U4*Inputs!$B$7*Inputs!$B$6</f>
        <v/>
      </c>
      <c r="V7" s="7">
        <f>V4*Inputs!$B$7*Inputs!$B$6</f>
        <v/>
      </c>
      <c r="W7" s="7">
        <f>W4*Inputs!$B$7*Inputs!$B$6</f>
        <v/>
      </c>
      <c r="X7" s="7">
        <f>X4*Inputs!$B$7*Inputs!$B$6</f>
        <v/>
      </c>
      <c r="Y7" s="7">
        <f>Y4*Inputs!$B$7*Inputs!$B$6</f>
        <v/>
      </c>
      <c r="Z7" s="7">
        <f>Z4*Inputs!$B$7*Inputs!$B$6</f>
        <v/>
      </c>
      <c r="AA7" s="7">
        <f>AA4*Inputs!$B$7*Inputs!$B$6</f>
        <v/>
      </c>
      <c r="AB7" s="7">
        <f>AB4*Inputs!$B$7*Inputs!$B$6</f>
        <v/>
      </c>
      <c r="AC7" s="7">
        <f>AC4*Inputs!$B$7*Inputs!$B$6</f>
        <v/>
      </c>
      <c r="AD7" s="7">
        <f>AD4*Inputs!$B$7*Inputs!$B$6</f>
        <v/>
      </c>
      <c r="AE7" s="7">
        <f>AE4*Inputs!$B$7*Inputs!$B$6</f>
        <v/>
      </c>
      <c r="AF7" s="7">
        <f>AF4*Inputs!$B$7*Inputs!$B$6</f>
        <v/>
      </c>
      <c r="AG7" s="7">
        <f>AG4*Inputs!$B$7*Inputs!$B$6</f>
        <v/>
      </c>
      <c r="AH7" s="7">
        <f>AH4*Inputs!$B$7*Inputs!$B$6</f>
        <v/>
      </c>
      <c r="AI7" s="7">
        <f>AI4*Inputs!$B$7*Inputs!$B$6</f>
        <v/>
      </c>
      <c r="AJ7" s="7">
        <f>AJ4*Inputs!$B$7*Inputs!$B$6</f>
        <v/>
      </c>
      <c r="AK7" s="7">
        <f>AK4*Inputs!$B$7*Inputs!$B$6</f>
        <v/>
      </c>
    </row>
    <row r="8">
      <c r="A8" s="5" t="inlineStr">
        <is>
          <t>Agent &amp; supervision cost</t>
        </is>
      </c>
      <c r="B8" s="21">
        <f>-B5*(-'Seat Economics'!$B$5-'Seat Economics'!$B$6)</f>
        <v/>
      </c>
      <c r="C8" s="21">
        <f>-C5*(-'Seat Economics'!$B$5-'Seat Economics'!$B$6)</f>
        <v/>
      </c>
      <c r="D8" s="21">
        <f>-D5*(-'Seat Economics'!$B$5-'Seat Economics'!$B$6)</f>
        <v/>
      </c>
      <c r="E8" s="21">
        <f>-E5*(-'Seat Economics'!$B$5-'Seat Economics'!$B$6)</f>
        <v/>
      </c>
      <c r="F8" s="21">
        <f>-F5*(-'Seat Economics'!$B$5-'Seat Economics'!$B$6)</f>
        <v/>
      </c>
      <c r="G8" s="21">
        <f>-G5*(-'Seat Economics'!$B$5-'Seat Economics'!$B$6)</f>
        <v/>
      </c>
      <c r="H8" s="21">
        <f>-H5*(-'Seat Economics'!$B$5-'Seat Economics'!$B$6)</f>
        <v/>
      </c>
      <c r="I8" s="21">
        <f>-I5*(-'Seat Economics'!$B$5-'Seat Economics'!$B$6)</f>
        <v/>
      </c>
      <c r="J8" s="21">
        <f>-J5*(-'Seat Economics'!$B$5-'Seat Economics'!$B$6)</f>
        <v/>
      </c>
      <c r="K8" s="21">
        <f>-K5*(-'Seat Economics'!$B$5-'Seat Economics'!$B$6)</f>
        <v/>
      </c>
      <c r="L8" s="21">
        <f>-L5*(-'Seat Economics'!$B$5-'Seat Economics'!$B$6)</f>
        <v/>
      </c>
      <c r="M8" s="21">
        <f>-M5*(-'Seat Economics'!$B$5-'Seat Economics'!$B$6)</f>
        <v/>
      </c>
      <c r="N8" s="21">
        <f>-N5*(-'Seat Economics'!$B$5-'Seat Economics'!$B$6)</f>
        <v/>
      </c>
      <c r="O8" s="21">
        <f>-O5*(-'Seat Economics'!$B$5-'Seat Economics'!$B$6)</f>
        <v/>
      </c>
      <c r="P8" s="21">
        <f>-P5*(-'Seat Economics'!$B$5-'Seat Economics'!$B$6)</f>
        <v/>
      </c>
      <c r="Q8" s="21">
        <f>-Q5*(-'Seat Economics'!$B$5-'Seat Economics'!$B$6)</f>
        <v/>
      </c>
      <c r="R8" s="21">
        <f>-R5*(-'Seat Economics'!$B$5-'Seat Economics'!$B$6)</f>
        <v/>
      </c>
      <c r="S8" s="21">
        <f>-S5*(-'Seat Economics'!$B$5-'Seat Economics'!$B$6)</f>
        <v/>
      </c>
      <c r="T8" s="21">
        <f>-T5*(-'Seat Economics'!$B$5-'Seat Economics'!$B$6)</f>
        <v/>
      </c>
      <c r="U8" s="21">
        <f>-U5*(-'Seat Economics'!$B$5-'Seat Economics'!$B$6)</f>
        <v/>
      </c>
      <c r="V8" s="21">
        <f>-V5*(-'Seat Economics'!$B$5-'Seat Economics'!$B$6)</f>
        <v/>
      </c>
      <c r="W8" s="21">
        <f>-W5*(-'Seat Economics'!$B$5-'Seat Economics'!$B$6)</f>
        <v/>
      </c>
      <c r="X8" s="21">
        <f>-X5*(-'Seat Economics'!$B$5-'Seat Economics'!$B$6)</f>
        <v/>
      </c>
      <c r="Y8" s="21">
        <f>-Y5*(-'Seat Economics'!$B$5-'Seat Economics'!$B$6)</f>
        <v/>
      </c>
      <c r="Z8" s="21">
        <f>-Z5*(-'Seat Economics'!$B$5-'Seat Economics'!$B$6)</f>
        <v/>
      </c>
      <c r="AA8" s="21">
        <f>-AA5*(-'Seat Economics'!$B$5-'Seat Economics'!$B$6)</f>
        <v/>
      </c>
      <c r="AB8" s="21">
        <f>-AB5*(-'Seat Economics'!$B$5-'Seat Economics'!$B$6)</f>
        <v/>
      </c>
      <c r="AC8" s="21">
        <f>-AC5*(-'Seat Economics'!$B$5-'Seat Economics'!$B$6)</f>
        <v/>
      </c>
      <c r="AD8" s="21">
        <f>-AD5*(-'Seat Economics'!$B$5-'Seat Economics'!$B$6)</f>
        <v/>
      </c>
      <c r="AE8" s="21">
        <f>-AE5*(-'Seat Economics'!$B$5-'Seat Economics'!$B$6)</f>
        <v/>
      </c>
      <c r="AF8" s="21">
        <f>-AF5*(-'Seat Economics'!$B$5-'Seat Economics'!$B$6)</f>
        <v/>
      </c>
      <c r="AG8" s="21">
        <f>-AG5*(-'Seat Economics'!$B$5-'Seat Economics'!$B$6)</f>
        <v/>
      </c>
      <c r="AH8" s="21">
        <f>-AH5*(-'Seat Economics'!$B$5-'Seat Economics'!$B$6)</f>
        <v/>
      </c>
      <c r="AI8" s="21">
        <f>-AI5*(-'Seat Economics'!$B$5-'Seat Economics'!$B$6)</f>
        <v/>
      </c>
      <c r="AJ8" s="21">
        <f>-AJ5*(-'Seat Economics'!$B$5-'Seat Economics'!$B$6)</f>
        <v/>
      </c>
      <c r="AK8" s="21">
        <f>-AK5*(-'Seat Economics'!$B$5-'Seat Economics'!$B$6)</f>
        <v/>
      </c>
    </row>
    <row r="9">
      <c r="A9" s="5" t="inlineStr">
        <is>
          <t>Seat running costs</t>
        </is>
      </c>
      <c r="B9" s="21">
        <f>-B5*(Inputs!$B$16+Inputs!$B$17+Inputs!$B$18)</f>
        <v/>
      </c>
      <c r="C9" s="21">
        <f>-C5*(Inputs!$B$16+Inputs!$B$17+Inputs!$B$18)</f>
        <v/>
      </c>
      <c r="D9" s="21">
        <f>-D5*(Inputs!$B$16+Inputs!$B$17+Inputs!$B$18)</f>
        <v/>
      </c>
      <c r="E9" s="21">
        <f>-E5*(Inputs!$B$16+Inputs!$B$17+Inputs!$B$18)</f>
        <v/>
      </c>
      <c r="F9" s="21">
        <f>-F5*(Inputs!$B$16+Inputs!$B$17+Inputs!$B$18)</f>
        <v/>
      </c>
      <c r="G9" s="21">
        <f>-G5*(Inputs!$B$16+Inputs!$B$17+Inputs!$B$18)</f>
        <v/>
      </c>
      <c r="H9" s="21">
        <f>-H5*(Inputs!$B$16+Inputs!$B$17+Inputs!$B$18)</f>
        <v/>
      </c>
      <c r="I9" s="21">
        <f>-I5*(Inputs!$B$16+Inputs!$B$17+Inputs!$B$18)</f>
        <v/>
      </c>
      <c r="J9" s="21">
        <f>-J5*(Inputs!$B$16+Inputs!$B$17+Inputs!$B$18)</f>
        <v/>
      </c>
      <c r="K9" s="21">
        <f>-K5*(Inputs!$B$16+Inputs!$B$17+Inputs!$B$18)</f>
        <v/>
      </c>
      <c r="L9" s="21">
        <f>-L5*(Inputs!$B$16+Inputs!$B$17+Inputs!$B$18)</f>
        <v/>
      </c>
      <c r="M9" s="21">
        <f>-M5*(Inputs!$B$16+Inputs!$B$17+Inputs!$B$18)</f>
        <v/>
      </c>
      <c r="N9" s="21">
        <f>-N5*(Inputs!$B$16+Inputs!$B$17+Inputs!$B$18)</f>
        <v/>
      </c>
      <c r="O9" s="21">
        <f>-O5*(Inputs!$B$16+Inputs!$B$17+Inputs!$B$18)</f>
        <v/>
      </c>
      <c r="P9" s="21">
        <f>-P5*(Inputs!$B$16+Inputs!$B$17+Inputs!$B$18)</f>
        <v/>
      </c>
      <c r="Q9" s="21">
        <f>-Q5*(Inputs!$B$16+Inputs!$B$17+Inputs!$B$18)</f>
        <v/>
      </c>
      <c r="R9" s="21">
        <f>-R5*(Inputs!$B$16+Inputs!$B$17+Inputs!$B$18)</f>
        <v/>
      </c>
      <c r="S9" s="21">
        <f>-S5*(Inputs!$B$16+Inputs!$B$17+Inputs!$B$18)</f>
        <v/>
      </c>
      <c r="T9" s="21">
        <f>-T5*(Inputs!$B$16+Inputs!$B$17+Inputs!$B$18)</f>
        <v/>
      </c>
      <c r="U9" s="21">
        <f>-U5*(Inputs!$B$16+Inputs!$B$17+Inputs!$B$18)</f>
        <v/>
      </c>
      <c r="V9" s="21">
        <f>-V5*(Inputs!$B$16+Inputs!$B$17+Inputs!$B$18)</f>
        <v/>
      </c>
      <c r="W9" s="21">
        <f>-W5*(Inputs!$B$16+Inputs!$B$17+Inputs!$B$18)</f>
        <v/>
      </c>
      <c r="X9" s="21">
        <f>-X5*(Inputs!$B$16+Inputs!$B$17+Inputs!$B$18)</f>
        <v/>
      </c>
      <c r="Y9" s="21">
        <f>-Y5*(Inputs!$B$16+Inputs!$B$17+Inputs!$B$18)</f>
        <v/>
      </c>
      <c r="Z9" s="21">
        <f>-Z5*(Inputs!$B$16+Inputs!$B$17+Inputs!$B$18)</f>
        <v/>
      </c>
      <c r="AA9" s="21">
        <f>-AA5*(Inputs!$B$16+Inputs!$B$17+Inputs!$B$18)</f>
        <v/>
      </c>
      <c r="AB9" s="21">
        <f>-AB5*(Inputs!$B$16+Inputs!$B$17+Inputs!$B$18)</f>
        <v/>
      </c>
      <c r="AC9" s="21">
        <f>-AC5*(Inputs!$B$16+Inputs!$B$17+Inputs!$B$18)</f>
        <v/>
      </c>
      <c r="AD9" s="21">
        <f>-AD5*(Inputs!$B$16+Inputs!$B$17+Inputs!$B$18)</f>
        <v/>
      </c>
      <c r="AE9" s="21">
        <f>-AE5*(Inputs!$B$16+Inputs!$B$17+Inputs!$B$18)</f>
        <v/>
      </c>
      <c r="AF9" s="21">
        <f>-AF5*(Inputs!$B$16+Inputs!$B$17+Inputs!$B$18)</f>
        <v/>
      </c>
      <c r="AG9" s="21">
        <f>-AG5*(Inputs!$B$16+Inputs!$B$17+Inputs!$B$18)</f>
        <v/>
      </c>
      <c r="AH9" s="21">
        <f>-AH5*(Inputs!$B$16+Inputs!$B$17+Inputs!$B$18)</f>
        <v/>
      </c>
      <c r="AI9" s="21">
        <f>-AI5*(Inputs!$B$16+Inputs!$B$17+Inputs!$B$18)</f>
        <v/>
      </c>
      <c r="AJ9" s="21">
        <f>-AJ5*(Inputs!$B$16+Inputs!$B$17+Inputs!$B$18)</f>
        <v/>
      </c>
      <c r="AK9" s="21">
        <f>-AK5*(Inputs!$B$16+Inputs!$B$17+Inputs!$B$18)</f>
        <v/>
      </c>
    </row>
    <row r="10">
      <c r="A10" s="5" t="inlineStr">
        <is>
          <t>Fixed overheads</t>
        </is>
      </c>
      <c r="B10" s="21">
        <f>-Inputs!$B$20</f>
        <v/>
      </c>
      <c r="C10" s="21">
        <f>-Inputs!$B$20</f>
        <v/>
      </c>
      <c r="D10" s="21">
        <f>-Inputs!$B$20</f>
        <v/>
      </c>
      <c r="E10" s="21">
        <f>-Inputs!$B$20</f>
        <v/>
      </c>
      <c r="F10" s="21">
        <f>-Inputs!$B$20</f>
        <v/>
      </c>
      <c r="G10" s="21">
        <f>-Inputs!$B$20</f>
        <v/>
      </c>
      <c r="H10" s="21">
        <f>-Inputs!$B$20</f>
        <v/>
      </c>
      <c r="I10" s="21">
        <f>-Inputs!$B$20</f>
        <v/>
      </c>
      <c r="J10" s="21">
        <f>-Inputs!$B$20</f>
        <v/>
      </c>
      <c r="K10" s="21">
        <f>-Inputs!$B$20</f>
        <v/>
      </c>
      <c r="L10" s="21">
        <f>-Inputs!$B$20</f>
        <v/>
      </c>
      <c r="M10" s="21">
        <f>-Inputs!$B$20</f>
        <v/>
      </c>
      <c r="N10" s="21">
        <f>-Inputs!$B$20</f>
        <v/>
      </c>
      <c r="O10" s="21">
        <f>-Inputs!$B$20</f>
        <v/>
      </c>
      <c r="P10" s="21">
        <f>-Inputs!$B$20</f>
        <v/>
      </c>
      <c r="Q10" s="21">
        <f>-Inputs!$B$20</f>
        <v/>
      </c>
      <c r="R10" s="21">
        <f>-Inputs!$B$20</f>
        <v/>
      </c>
      <c r="S10" s="21">
        <f>-Inputs!$B$20</f>
        <v/>
      </c>
      <c r="T10" s="21">
        <f>-Inputs!$B$20</f>
        <v/>
      </c>
      <c r="U10" s="21">
        <f>-Inputs!$B$20</f>
        <v/>
      </c>
      <c r="V10" s="21">
        <f>-Inputs!$B$20</f>
        <v/>
      </c>
      <c r="W10" s="21">
        <f>-Inputs!$B$20</f>
        <v/>
      </c>
      <c r="X10" s="21">
        <f>-Inputs!$B$20</f>
        <v/>
      </c>
      <c r="Y10" s="21">
        <f>-Inputs!$B$20</f>
        <v/>
      </c>
      <c r="Z10" s="21">
        <f>-Inputs!$B$20</f>
        <v/>
      </c>
      <c r="AA10" s="21">
        <f>-Inputs!$B$20</f>
        <v/>
      </c>
      <c r="AB10" s="21">
        <f>-Inputs!$B$20</f>
        <v/>
      </c>
      <c r="AC10" s="21">
        <f>-Inputs!$B$20</f>
        <v/>
      </c>
      <c r="AD10" s="21">
        <f>-Inputs!$B$20</f>
        <v/>
      </c>
      <c r="AE10" s="21">
        <f>-Inputs!$B$20</f>
        <v/>
      </c>
      <c r="AF10" s="21">
        <f>-Inputs!$B$20</f>
        <v/>
      </c>
      <c r="AG10" s="21">
        <f>-Inputs!$B$20</f>
        <v/>
      </c>
      <c r="AH10" s="21">
        <f>-Inputs!$B$20</f>
        <v/>
      </c>
      <c r="AI10" s="21">
        <f>-Inputs!$B$20</f>
        <v/>
      </c>
      <c r="AJ10" s="21">
        <f>-Inputs!$B$20</f>
        <v/>
      </c>
      <c r="AK10" s="21">
        <f>-Inputs!$B$20</f>
        <v/>
      </c>
    </row>
    <row r="11">
      <c r="A11" s="5" t="inlineStr">
        <is>
          <t>Attrition training cost</t>
        </is>
      </c>
      <c r="B11" s="21">
        <f>-(B5*Inputs!$B$24/12+B6)*Inputs!$B$25</f>
        <v/>
      </c>
      <c r="C11" s="21">
        <f>-(C5*Inputs!$B$24/12+C6)*Inputs!$B$25</f>
        <v/>
      </c>
      <c r="D11" s="21">
        <f>-(D5*Inputs!$B$24/12+D6)*Inputs!$B$25</f>
        <v/>
      </c>
      <c r="E11" s="21">
        <f>-(E5*Inputs!$B$24/12+E6)*Inputs!$B$25</f>
        <v/>
      </c>
      <c r="F11" s="21">
        <f>-(F5*Inputs!$B$24/12+F6)*Inputs!$B$25</f>
        <v/>
      </c>
      <c r="G11" s="21">
        <f>-(G5*Inputs!$B$24/12+G6)*Inputs!$B$25</f>
        <v/>
      </c>
      <c r="H11" s="21">
        <f>-(H5*Inputs!$B$24/12+H6)*Inputs!$B$25</f>
        <v/>
      </c>
      <c r="I11" s="21">
        <f>-(I5*Inputs!$B$24/12+I6)*Inputs!$B$25</f>
        <v/>
      </c>
      <c r="J11" s="21">
        <f>-(J5*Inputs!$B$24/12+J6)*Inputs!$B$25</f>
        <v/>
      </c>
      <c r="K11" s="21">
        <f>-(K5*Inputs!$B$24/12+K6)*Inputs!$B$25</f>
        <v/>
      </c>
      <c r="L11" s="21">
        <f>-(L5*Inputs!$B$24/12+L6)*Inputs!$B$25</f>
        <v/>
      </c>
      <c r="M11" s="21">
        <f>-(M5*Inputs!$B$24/12+M6)*Inputs!$B$25</f>
        <v/>
      </c>
      <c r="N11" s="21">
        <f>-(N5*Inputs!$B$24/12+N6)*Inputs!$B$25</f>
        <v/>
      </c>
      <c r="O11" s="21">
        <f>-(O5*Inputs!$B$24/12+O6)*Inputs!$B$25</f>
        <v/>
      </c>
      <c r="P11" s="21">
        <f>-(P5*Inputs!$B$24/12+P6)*Inputs!$B$25</f>
        <v/>
      </c>
      <c r="Q11" s="21">
        <f>-(Q5*Inputs!$B$24/12+Q6)*Inputs!$B$25</f>
        <v/>
      </c>
      <c r="R11" s="21">
        <f>-(R5*Inputs!$B$24/12+R6)*Inputs!$B$25</f>
        <v/>
      </c>
      <c r="S11" s="21">
        <f>-(S5*Inputs!$B$24/12+S6)*Inputs!$B$25</f>
        <v/>
      </c>
      <c r="T11" s="21">
        <f>-(T5*Inputs!$B$24/12+T6)*Inputs!$B$25</f>
        <v/>
      </c>
      <c r="U11" s="21">
        <f>-(U5*Inputs!$B$24/12+U6)*Inputs!$B$25</f>
        <v/>
      </c>
      <c r="V11" s="21">
        <f>-(V5*Inputs!$B$24/12+V6)*Inputs!$B$25</f>
        <v/>
      </c>
      <c r="W11" s="21">
        <f>-(W5*Inputs!$B$24/12+W6)*Inputs!$B$25</f>
        <v/>
      </c>
      <c r="X11" s="21">
        <f>-(X5*Inputs!$B$24/12+X6)*Inputs!$B$25</f>
        <v/>
      </c>
      <c r="Y11" s="21">
        <f>-(Y5*Inputs!$B$24/12+Y6)*Inputs!$B$25</f>
        <v/>
      </c>
      <c r="Z11" s="21">
        <f>-(Z5*Inputs!$B$24/12+Z6)*Inputs!$B$25</f>
        <v/>
      </c>
      <c r="AA11" s="21">
        <f>-(AA5*Inputs!$B$24/12+AA6)*Inputs!$B$25</f>
        <v/>
      </c>
      <c r="AB11" s="21">
        <f>-(AB5*Inputs!$B$24/12+AB6)*Inputs!$B$25</f>
        <v/>
      </c>
      <c r="AC11" s="21">
        <f>-(AC5*Inputs!$B$24/12+AC6)*Inputs!$B$25</f>
        <v/>
      </c>
      <c r="AD11" s="21">
        <f>-(AD5*Inputs!$B$24/12+AD6)*Inputs!$B$25</f>
        <v/>
      </c>
      <c r="AE11" s="21">
        <f>-(AE5*Inputs!$B$24/12+AE6)*Inputs!$B$25</f>
        <v/>
      </c>
      <c r="AF11" s="21">
        <f>-(AF5*Inputs!$B$24/12+AF6)*Inputs!$B$25</f>
        <v/>
      </c>
      <c r="AG11" s="21">
        <f>-(AG5*Inputs!$B$24/12+AG6)*Inputs!$B$25</f>
        <v/>
      </c>
      <c r="AH11" s="21">
        <f>-(AH5*Inputs!$B$24/12+AH6)*Inputs!$B$25</f>
        <v/>
      </c>
      <c r="AI11" s="21">
        <f>-(AI5*Inputs!$B$24/12+AI6)*Inputs!$B$25</f>
        <v/>
      </c>
      <c r="AJ11" s="21">
        <f>-(AJ5*Inputs!$B$24/12+AJ6)*Inputs!$B$25</f>
        <v/>
      </c>
      <c r="AK11" s="21">
        <f>-(AK5*Inputs!$B$24/12+AK6)*Inputs!$B$25</f>
        <v/>
      </c>
    </row>
    <row r="12">
      <c r="A12" s="22" t="inlineStr">
        <is>
          <t>Operating costs</t>
        </is>
      </c>
      <c r="B12" s="29">
        <f>SUM(B8:B11)</f>
        <v/>
      </c>
      <c r="C12" s="29">
        <f>SUM(C8:C11)</f>
        <v/>
      </c>
      <c r="D12" s="29">
        <f>SUM(D8:D11)</f>
        <v/>
      </c>
      <c r="E12" s="29">
        <f>SUM(E8:E11)</f>
        <v/>
      </c>
      <c r="F12" s="29">
        <f>SUM(F8:F11)</f>
        <v/>
      </c>
      <c r="G12" s="29">
        <f>SUM(G8:G11)</f>
        <v/>
      </c>
      <c r="H12" s="29">
        <f>SUM(H8:H11)</f>
        <v/>
      </c>
      <c r="I12" s="29">
        <f>SUM(I8:I11)</f>
        <v/>
      </c>
      <c r="J12" s="29">
        <f>SUM(J8:J11)</f>
        <v/>
      </c>
      <c r="K12" s="29">
        <f>SUM(K8:K11)</f>
        <v/>
      </c>
      <c r="L12" s="29">
        <f>SUM(L8:L11)</f>
        <v/>
      </c>
      <c r="M12" s="29">
        <f>SUM(M8:M11)</f>
        <v/>
      </c>
      <c r="N12" s="29">
        <f>SUM(N8:N11)</f>
        <v/>
      </c>
      <c r="O12" s="29">
        <f>SUM(O8:O11)</f>
        <v/>
      </c>
      <c r="P12" s="29">
        <f>SUM(P8:P11)</f>
        <v/>
      </c>
      <c r="Q12" s="29">
        <f>SUM(Q8:Q11)</f>
        <v/>
      </c>
      <c r="R12" s="29">
        <f>SUM(R8:R11)</f>
        <v/>
      </c>
      <c r="S12" s="29">
        <f>SUM(S8:S11)</f>
        <v/>
      </c>
      <c r="T12" s="29">
        <f>SUM(T8:T11)</f>
        <v/>
      </c>
      <c r="U12" s="29">
        <f>SUM(U8:U11)</f>
        <v/>
      </c>
      <c r="V12" s="29">
        <f>SUM(V8:V11)</f>
        <v/>
      </c>
      <c r="W12" s="29">
        <f>SUM(W8:W11)</f>
        <v/>
      </c>
      <c r="X12" s="29">
        <f>SUM(X8:X11)</f>
        <v/>
      </c>
      <c r="Y12" s="29">
        <f>SUM(Y8:Y11)</f>
        <v/>
      </c>
      <c r="Z12" s="29">
        <f>SUM(Z8:Z11)</f>
        <v/>
      </c>
      <c r="AA12" s="29">
        <f>SUM(AA8:AA11)</f>
        <v/>
      </c>
      <c r="AB12" s="29">
        <f>SUM(AB8:AB11)</f>
        <v/>
      </c>
      <c r="AC12" s="29">
        <f>SUM(AC8:AC11)</f>
        <v/>
      </c>
      <c r="AD12" s="29">
        <f>SUM(AD8:AD11)</f>
        <v/>
      </c>
      <c r="AE12" s="29">
        <f>SUM(AE8:AE11)</f>
        <v/>
      </c>
      <c r="AF12" s="29">
        <f>SUM(AF8:AF11)</f>
        <v/>
      </c>
      <c r="AG12" s="29">
        <f>SUM(AG8:AG11)</f>
        <v/>
      </c>
      <c r="AH12" s="29">
        <f>SUM(AH8:AH11)</f>
        <v/>
      </c>
      <c r="AI12" s="29">
        <f>SUM(AI8:AI11)</f>
        <v/>
      </c>
      <c r="AJ12" s="29">
        <f>SUM(AJ8:AJ11)</f>
        <v/>
      </c>
      <c r="AK12" s="29">
        <f>SUM(AK8:AK11)</f>
        <v/>
      </c>
    </row>
    <row r="13">
      <c r="A13" s="8" t="inlineStr">
        <is>
          <t>Gross operating profit (pre-incentive)</t>
        </is>
      </c>
      <c r="B13" s="21">
        <f>B7+B12</f>
        <v/>
      </c>
      <c r="C13" s="21">
        <f>C7+C12</f>
        <v/>
      </c>
      <c r="D13" s="21">
        <f>D7+D12</f>
        <v/>
      </c>
      <c r="E13" s="21">
        <f>E7+E12</f>
        <v/>
      </c>
      <c r="F13" s="21">
        <f>F7+F12</f>
        <v/>
      </c>
      <c r="G13" s="21">
        <f>G7+G12</f>
        <v/>
      </c>
      <c r="H13" s="21">
        <f>H7+H12</f>
        <v/>
      </c>
      <c r="I13" s="21">
        <f>I7+I12</f>
        <v/>
      </c>
      <c r="J13" s="21">
        <f>J7+J12</f>
        <v/>
      </c>
      <c r="K13" s="21">
        <f>K7+K12</f>
        <v/>
      </c>
      <c r="L13" s="21">
        <f>L7+L12</f>
        <v/>
      </c>
      <c r="M13" s="21">
        <f>M7+M12</f>
        <v/>
      </c>
      <c r="N13" s="21">
        <f>N7+N12</f>
        <v/>
      </c>
      <c r="O13" s="21">
        <f>O7+O12</f>
        <v/>
      </c>
      <c r="P13" s="21">
        <f>P7+P12</f>
        <v/>
      </c>
      <c r="Q13" s="21">
        <f>Q7+Q12</f>
        <v/>
      </c>
      <c r="R13" s="21">
        <f>R7+R12</f>
        <v/>
      </c>
      <c r="S13" s="21">
        <f>S7+S12</f>
        <v/>
      </c>
      <c r="T13" s="21">
        <f>T7+T12</f>
        <v/>
      </c>
      <c r="U13" s="21">
        <f>U7+U12</f>
        <v/>
      </c>
      <c r="V13" s="21">
        <f>V7+V12</f>
        <v/>
      </c>
      <c r="W13" s="21">
        <f>W7+W12</f>
        <v/>
      </c>
      <c r="X13" s="21">
        <f>X7+X12</f>
        <v/>
      </c>
      <c r="Y13" s="21">
        <f>Y7+Y12</f>
        <v/>
      </c>
      <c r="Z13" s="21">
        <f>Z7+Z12</f>
        <v/>
      </c>
      <c r="AA13" s="21">
        <f>AA7+AA12</f>
        <v/>
      </c>
      <c r="AB13" s="21">
        <f>AB7+AB12</f>
        <v/>
      </c>
      <c r="AC13" s="21">
        <f>AC7+AC12</f>
        <v/>
      </c>
      <c r="AD13" s="21">
        <f>AD7+AD12</f>
        <v/>
      </c>
      <c r="AE13" s="21">
        <f>AE7+AE12</f>
        <v/>
      </c>
      <c r="AF13" s="21">
        <f>AF7+AF12</f>
        <v/>
      </c>
      <c r="AG13" s="21">
        <f>AG7+AG12</f>
        <v/>
      </c>
      <c r="AH13" s="21">
        <f>AH7+AH12</f>
        <v/>
      </c>
      <c r="AI13" s="21">
        <f>AI7+AI12</f>
        <v/>
      </c>
      <c r="AJ13" s="21">
        <f>AJ7+AJ12</f>
        <v/>
      </c>
      <c r="AK13" s="21">
        <f>AK7+AK12</f>
        <v/>
      </c>
    </row>
    <row r="14">
      <c r="A14" s="5" t="inlineStr">
        <is>
          <t>GBS incentive</t>
        </is>
      </c>
      <c r="B14" s="21">
        <f>IF(B$3&gt;=Inputs!$B$30,B5*Inputs!$B$29/60*Inputs!$B$28,0)</f>
        <v/>
      </c>
      <c r="C14" s="21">
        <f>IF(C$3&gt;=Inputs!$B$30,C5*Inputs!$B$29/60*Inputs!$B$28,0)</f>
        <v/>
      </c>
      <c r="D14" s="21">
        <f>IF(D$3&gt;=Inputs!$B$30,D5*Inputs!$B$29/60*Inputs!$B$28,0)</f>
        <v/>
      </c>
      <c r="E14" s="21">
        <f>IF(E$3&gt;=Inputs!$B$30,E5*Inputs!$B$29/60*Inputs!$B$28,0)</f>
        <v/>
      </c>
      <c r="F14" s="21">
        <f>IF(F$3&gt;=Inputs!$B$30,F5*Inputs!$B$29/60*Inputs!$B$28,0)</f>
        <v/>
      </c>
      <c r="G14" s="21">
        <f>IF(G$3&gt;=Inputs!$B$30,G5*Inputs!$B$29/60*Inputs!$B$28,0)</f>
        <v/>
      </c>
      <c r="H14" s="21">
        <f>IF(H$3&gt;=Inputs!$B$30,H5*Inputs!$B$29/60*Inputs!$B$28,0)</f>
        <v/>
      </c>
      <c r="I14" s="21">
        <f>IF(I$3&gt;=Inputs!$B$30,I5*Inputs!$B$29/60*Inputs!$B$28,0)</f>
        <v/>
      </c>
      <c r="J14" s="21">
        <f>IF(J$3&gt;=Inputs!$B$30,J5*Inputs!$B$29/60*Inputs!$B$28,0)</f>
        <v/>
      </c>
      <c r="K14" s="21">
        <f>IF(K$3&gt;=Inputs!$B$30,K5*Inputs!$B$29/60*Inputs!$B$28,0)</f>
        <v/>
      </c>
      <c r="L14" s="21">
        <f>IF(L$3&gt;=Inputs!$B$30,L5*Inputs!$B$29/60*Inputs!$B$28,0)</f>
        <v/>
      </c>
      <c r="M14" s="21">
        <f>IF(M$3&gt;=Inputs!$B$30,M5*Inputs!$B$29/60*Inputs!$B$28,0)</f>
        <v/>
      </c>
      <c r="N14" s="21">
        <f>IF(N$3&gt;=Inputs!$B$30,N5*Inputs!$B$29/60*Inputs!$B$28,0)</f>
        <v/>
      </c>
      <c r="O14" s="21">
        <f>IF(O$3&gt;=Inputs!$B$30,O5*Inputs!$B$29/60*Inputs!$B$28,0)</f>
        <v/>
      </c>
      <c r="P14" s="21">
        <f>IF(P$3&gt;=Inputs!$B$30,P5*Inputs!$B$29/60*Inputs!$B$28,0)</f>
        <v/>
      </c>
      <c r="Q14" s="21">
        <f>IF(Q$3&gt;=Inputs!$B$30,Q5*Inputs!$B$29/60*Inputs!$B$28,0)</f>
        <v/>
      </c>
      <c r="R14" s="21">
        <f>IF(R$3&gt;=Inputs!$B$30,R5*Inputs!$B$29/60*Inputs!$B$28,0)</f>
        <v/>
      </c>
      <c r="S14" s="21">
        <f>IF(S$3&gt;=Inputs!$B$30,S5*Inputs!$B$29/60*Inputs!$B$28,0)</f>
        <v/>
      </c>
      <c r="T14" s="21">
        <f>IF(T$3&gt;=Inputs!$B$30,T5*Inputs!$B$29/60*Inputs!$B$28,0)</f>
        <v/>
      </c>
      <c r="U14" s="21">
        <f>IF(U$3&gt;=Inputs!$B$30,U5*Inputs!$B$29/60*Inputs!$B$28,0)</f>
        <v/>
      </c>
      <c r="V14" s="21">
        <f>IF(V$3&gt;=Inputs!$B$30,V5*Inputs!$B$29/60*Inputs!$B$28,0)</f>
        <v/>
      </c>
      <c r="W14" s="21">
        <f>IF(W$3&gt;=Inputs!$B$30,W5*Inputs!$B$29/60*Inputs!$B$28,0)</f>
        <v/>
      </c>
      <c r="X14" s="21">
        <f>IF(X$3&gt;=Inputs!$B$30,X5*Inputs!$B$29/60*Inputs!$B$28,0)</f>
        <v/>
      </c>
      <c r="Y14" s="21">
        <f>IF(Y$3&gt;=Inputs!$B$30,Y5*Inputs!$B$29/60*Inputs!$B$28,0)</f>
        <v/>
      </c>
      <c r="Z14" s="21">
        <f>IF(Z$3&gt;=Inputs!$B$30,Z5*Inputs!$B$29/60*Inputs!$B$28,0)</f>
        <v/>
      </c>
      <c r="AA14" s="21">
        <f>IF(AA$3&gt;=Inputs!$B$30,AA5*Inputs!$B$29/60*Inputs!$B$28,0)</f>
        <v/>
      </c>
      <c r="AB14" s="21">
        <f>IF(AB$3&gt;=Inputs!$B$30,AB5*Inputs!$B$29/60*Inputs!$B$28,0)</f>
        <v/>
      </c>
      <c r="AC14" s="21">
        <f>IF(AC$3&gt;=Inputs!$B$30,AC5*Inputs!$B$29/60*Inputs!$B$28,0)</f>
        <v/>
      </c>
      <c r="AD14" s="21">
        <f>IF(AD$3&gt;=Inputs!$B$30,AD5*Inputs!$B$29/60*Inputs!$B$28,0)</f>
        <v/>
      </c>
      <c r="AE14" s="21">
        <f>IF(AE$3&gt;=Inputs!$B$30,AE5*Inputs!$B$29/60*Inputs!$B$28,0)</f>
        <v/>
      </c>
      <c r="AF14" s="21">
        <f>IF(AF$3&gt;=Inputs!$B$30,AF5*Inputs!$B$29/60*Inputs!$B$28,0)</f>
        <v/>
      </c>
      <c r="AG14" s="21">
        <f>IF(AG$3&gt;=Inputs!$B$30,AG5*Inputs!$B$29/60*Inputs!$B$28,0)</f>
        <v/>
      </c>
      <c r="AH14" s="21">
        <f>IF(AH$3&gt;=Inputs!$B$30,AH5*Inputs!$B$29/60*Inputs!$B$28,0)</f>
        <v/>
      </c>
      <c r="AI14" s="21">
        <f>IF(AI$3&gt;=Inputs!$B$30,AI5*Inputs!$B$29/60*Inputs!$B$28,0)</f>
        <v/>
      </c>
      <c r="AJ14" s="21">
        <f>IF(AJ$3&gt;=Inputs!$B$30,AJ5*Inputs!$B$29/60*Inputs!$B$28,0)</f>
        <v/>
      </c>
      <c r="AK14" s="21">
        <f>IF(AK$3&gt;=Inputs!$B$30,AK5*Inputs!$B$29/60*Inputs!$B$28,0)</f>
        <v/>
      </c>
    </row>
    <row r="15">
      <c r="A15" s="22" t="inlineStr">
        <is>
          <t>EBITDA (pre-tax)</t>
        </is>
      </c>
      <c r="B15" s="23">
        <f>B13+B14</f>
        <v/>
      </c>
      <c r="C15" s="23">
        <f>C13+C14</f>
        <v/>
      </c>
      <c r="D15" s="23">
        <f>D13+D14</f>
        <v/>
      </c>
      <c r="E15" s="23">
        <f>E13+E14</f>
        <v/>
      </c>
      <c r="F15" s="23">
        <f>F13+F14</f>
        <v/>
      </c>
      <c r="G15" s="23">
        <f>G13+G14</f>
        <v/>
      </c>
      <c r="H15" s="23">
        <f>H13+H14</f>
        <v/>
      </c>
      <c r="I15" s="23">
        <f>I13+I14</f>
        <v/>
      </c>
      <c r="J15" s="23">
        <f>J13+J14</f>
        <v/>
      </c>
      <c r="K15" s="23">
        <f>K13+K14</f>
        <v/>
      </c>
      <c r="L15" s="23">
        <f>L13+L14</f>
        <v/>
      </c>
      <c r="M15" s="23">
        <f>M13+M14</f>
        <v/>
      </c>
      <c r="N15" s="23">
        <f>N13+N14</f>
        <v/>
      </c>
      <c r="O15" s="23">
        <f>O13+O14</f>
        <v/>
      </c>
      <c r="P15" s="23">
        <f>P13+P14</f>
        <v/>
      </c>
      <c r="Q15" s="23">
        <f>Q13+Q14</f>
        <v/>
      </c>
      <c r="R15" s="23">
        <f>R13+R14</f>
        <v/>
      </c>
      <c r="S15" s="23">
        <f>S13+S14</f>
        <v/>
      </c>
      <c r="T15" s="23">
        <f>T13+T14</f>
        <v/>
      </c>
      <c r="U15" s="23">
        <f>U13+U14</f>
        <v/>
      </c>
      <c r="V15" s="23">
        <f>V13+V14</f>
        <v/>
      </c>
      <c r="W15" s="23">
        <f>W13+W14</f>
        <v/>
      </c>
      <c r="X15" s="23">
        <f>X13+X14</f>
        <v/>
      </c>
      <c r="Y15" s="23">
        <f>Y13+Y14</f>
        <v/>
      </c>
      <c r="Z15" s="23">
        <f>Z13+Z14</f>
        <v/>
      </c>
      <c r="AA15" s="23">
        <f>AA13+AA14</f>
        <v/>
      </c>
      <c r="AB15" s="23">
        <f>AB13+AB14</f>
        <v/>
      </c>
      <c r="AC15" s="23">
        <f>AC13+AC14</f>
        <v/>
      </c>
      <c r="AD15" s="23">
        <f>AD13+AD14</f>
        <v/>
      </c>
      <c r="AE15" s="23">
        <f>AE13+AE14</f>
        <v/>
      </c>
      <c r="AF15" s="23">
        <f>AF13+AF14</f>
        <v/>
      </c>
      <c r="AG15" s="23">
        <f>AG13+AG14</f>
        <v/>
      </c>
      <c r="AH15" s="23">
        <f>AH13+AH14</f>
        <v/>
      </c>
      <c r="AI15" s="23">
        <f>AI13+AI14</f>
        <v/>
      </c>
      <c r="AJ15" s="23">
        <f>AJ13+AJ14</f>
        <v/>
      </c>
      <c r="AK15" s="23">
        <f>AK13+AK14</f>
        <v/>
      </c>
    </row>
    <row r="16">
      <c r="A16" s="5" t="inlineStr">
        <is>
          <t>EBITDA margin</t>
        </is>
      </c>
      <c r="B16" s="20">
        <f>IFERROR(B15/B7,0)</f>
        <v/>
      </c>
      <c r="C16" s="20">
        <f>IFERROR(C15/C7,0)</f>
        <v/>
      </c>
      <c r="D16" s="20">
        <f>IFERROR(D15/D7,0)</f>
        <v/>
      </c>
      <c r="E16" s="20">
        <f>IFERROR(E15/E7,0)</f>
        <v/>
      </c>
      <c r="F16" s="20">
        <f>IFERROR(F15/F7,0)</f>
        <v/>
      </c>
      <c r="G16" s="20">
        <f>IFERROR(G15/G7,0)</f>
        <v/>
      </c>
      <c r="H16" s="20">
        <f>IFERROR(H15/H7,0)</f>
        <v/>
      </c>
      <c r="I16" s="20">
        <f>IFERROR(I15/I7,0)</f>
        <v/>
      </c>
      <c r="J16" s="20">
        <f>IFERROR(J15/J7,0)</f>
        <v/>
      </c>
      <c r="K16" s="20">
        <f>IFERROR(K15/K7,0)</f>
        <v/>
      </c>
      <c r="L16" s="20">
        <f>IFERROR(L15/L7,0)</f>
        <v/>
      </c>
      <c r="M16" s="20">
        <f>IFERROR(M15/M7,0)</f>
        <v/>
      </c>
      <c r="N16" s="20">
        <f>IFERROR(N15/N7,0)</f>
        <v/>
      </c>
      <c r="O16" s="20">
        <f>IFERROR(O15/O7,0)</f>
        <v/>
      </c>
      <c r="P16" s="20">
        <f>IFERROR(P15/P7,0)</f>
        <v/>
      </c>
      <c r="Q16" s="20">
        <f>IFERROR(Q15/Q7,0)</f>
        <v/>
      </c>
      <c r="R16" s="20">
        <f>IFERROR(R15/R7,0)</f>
        <v/>
      </c>
      <c r="S16" s="20">
        <f>IFERROR(S15/S7,0)</f>
        <v/>
      </c>
      <c r="T16" s="20">
        <f>IFERROR(T15/T7,0)</f>
        <v/>
      </c>
      <c r="U16" s="20">
        <f>IFERROR(U15/U7,0)</f>
        <v/>
      </c>
      <c r="V16" s="20">
        <f>IFERROR(V15/V7,0)</f>
        <v/>
      </c>
      <c r="W16" s="20">
        <f>IFERROR(W15/W7,0)</f>
        <v/>
      </c>
      <c r="X16" s="20">
        <f>IFERROR(X15/X7,0)</f>
        <v/>
      </c>
      <c r="Y16" s="20">
        <f>IFERROR(Y15/Y7,0)</f>
        <v/>
      </c>
      <c r="Z16" s="20">
        <f>IFERROR(Z15/Z7,0)</f>
        <v/>
      </c>
      <c r="AA16" s="20">
        <f>IFERROR(AA15/AA7,0)</f>
        <v/>
      </c>
      <c r="AB16" s="20">
        <f>IFERROR(AB15/AB7,0)</f>
        <v/>
      </c>
      <c r="AC16" s="20">
        <f>IFERROR(AC15/AC7,0)</f>
        <v/>
      </c>
      <c r="AD16" s="20">
        <f>IFERROR(AD15/AD7,0)</f>
        <v/>
      </c>
      <c r="AE16" s="20">
        <f>IFERROR(AE15/AE7,0)</f>
        <v/>
      </c>
      <c r="AF16" s="20">
        <f>IFERROR(AF15/AF7,0)</f>
        <v/>
      </c>
      <c r="AG16" s="20">
        <f>IFERROR(AG15/AG7,0)</f>
        <v/>
      </c>
      <c r="AH16" s="20">
        <f>IFERROR(AH15/AH7,0)</f>
        <v/>
      </c>
      <c r="AI16" s="20">
        <f>IFERROR(AI15/AI7,0)</f>
        <v/>
      </c>
      <c r="AJ16" s="20">
        <f>IFERROR(AJ15/AJ7,0)</f>
        <v/>
      </c>
      <c r="AK16" s="20">
        <f>IFERROR(AK15/AK7,0)</f>
        <v/>
      </c>
    </row>
    <row r="17">
      <c r="A17" s="5" t="inlineStr">
        <is>
          <t>Setup capex</t>
        </is>
      </c>
      <c r="B17" s="21">
        <f>-B6*Inputs!$B$26</f>
        <v/>
      </c>
      <c r="C17" s="21">
        <f>-C6*Inputs!$B$26</f>
        <v/>
      </c>
      <c r="D17" s="21">
        <f>-D6*Inputs!$B$26</f>
        <v/>
      </c>
      <c r="E17" s="21">
        <f>-E6*Inputs!$B$26</f>
        <v/>
      </c>
      <c r="F17" s="21">
        <f>-F6*Inputs!$B$26</f>
        <v/>
      </c>
      <c r="G17" s="21">
        <f>-G6*Inputs!$B$26</f>
        <v/>
      </c>
      <c r="H17" s="21">
        <f>-H6*Inputs!$B$26</f>
        <v/>
      </c>
      <c r="I17" s="21">
        <f>-I6*Inputs!$B$26</f>
        <v/>
      </c>
      <c r="J17" s="21">
        <f>-J6*Inputs!$B$26</f>
        <v/>
      </c>
      <c r="K17" s="21">
        <f>-K6*Inputs!$B$26</f>
        <v/>
      </c>
      <c r="L17" s="21">
        <f>-L6*Inputs!$B$26</f>
        <v/>
      </c>
      <c r="M17" s="21">
        <f>-M6*Inputs!$B$26</f>
        <v/>
      </c>
      <c r="N17" s="21">
        <f>-N6*Inputs!$B$26</f>
        <v/>
      </c>
      <c r="O17" s="21">
        <f>-O6*Inputs!$B$26</f>
        <v/>
      </c>
      <c r="P17" s="21">
        <f>-P6*Inputs!$B$26</f>
        <v/>
      </c>
      <c r="Q17" s="21">
        <f>-Q6*Inputs!$B$26</f>
        <v/>
      </c>
      <c r="R17" s="21">
        <f>-R6*Inputs!$B$26</f>
        <v/>
      </c>
      <c r="S17" s="21">
        <f>-S6*Inputs!$B$26</f>
        <v/>
      </c>
      <c r="T17" s="21">
        <f>-T6*Inputs!$B$26</f>
        <v/>
      </c>
      <c r="U17" s="21">
        <f>-U6*Inputs!$B$26</f>
        <v/>
      </c>
      <c r="V17" s="21">
        <f>-V6*Inputs!$B$26</f>
        <v/>
      </c>
      <c r="W17" s="21">
        <f>-W6*Inputs!$B$26</f>
        <v/>
      </c>
      <c r="X17" s="21">
        <f>-X6*Inputs!$B$26</f>
        <v/>
      </c>
      <c r="Y17" s="21">
        <f>-Y6*Inputs!$B$26</f>
        <v/>
      </c>
      <c r="Z17" s="21">
        <f>-Z6*Inputs!$B$26</f>
        <v/>
      </c>
      <c r="AA17" s="21">
        <f>-AA6*Inputs!$B$26</f>
        <v/>
      </c>
      <c r="AB17" s="21">
        <f>-AB6*Inputs!$B$26</f>
        <v/>
      </c>
      <c r="AC17" s="21">
        <f>-AC6*Inputs!$B$26</f>
        <v/>
      </c>
      <c r="AD17" s="21">
        <f>-AD6*Inputs!$B$26</f>
        <v/>
      </c>
      <c r="AE17" s="21">
        <f>-AE6*Inputs!$B$26</f>
        <v/>
      </c>
      <c r="AF17" s="21">
        <f>-AF6*Inputs!$B$26</f>
        <v/>
      </c>
      <c r="AG17" s="21">
        <f>-AG6*Inputs!$B$26</f>
        <v/>
      </c>
      <c r="AH17" s="21">
        <f>-AH6*Inputs!$B$26</f>
        <v/>
      </c>
      <c r="AI17" s="21">
        <f>-AI6*Inputs!$B$26</f>
        <v/>
      </c>
      <c r="AJ17" s="21">
        <f>-AJ6*Inputs!$B$26</f>
        <v/>
      </c>
      <c r="AK17" s="21">
        <f>-AK6*Inputs!$B$26</f>
        <v/>
      </c>
    </row>
    <row r="18">
      <c r="A18" s="30" t="inlineStr">
        <is>
          <t>Net cash flow</t>
        </is>
      </c>
      <c r="B18" s="29">
        <f>B15+B17</f>
        <v/>
      </c>
      <c r="C18" s="29">
        <f>C15+C17</f>
        <v/>
      </c>
      <c r="D18" s="29">
        <f>D15+D17</f>
        <v/>
      </c>
      <c r="E18" s="29">
        <f>E15+E17</f>
        <v/>
      </c>
      <c r="F18" s="29">
        <f>F15+F17</f>
        <v/>
      </c>
      <c r="G18" s="29">
        <f>G15+G17</f>
        <v/>
      </c>
      <c r="H18" s="29">
        <f>H15+H17</f>
        <v/>
      </c>
      <c r="I18" s="29">
        <f>I15+I17</f>
        <v/>
      </c>
      <c r="J18" s="29">
        <f>J15+J17</f>
        <v/>
      </c>
      <c r="K18" s="29">
        <f>K15+K17</f>
        <v/>
      </c>
      <c r="L18" s="29">
        <f>L15+L17</f>
        <v/>
      </c>
      <c r="M18" s="29">
        <f>M15+M17</f>
        <v/>
      </c>
      <c r="N18" s="29">
        <f>N15+N17</f>
        <v/>
      </c>
      <c r="O18" s="29">
        <f>O15+O17</f>
        <v/>
      </c>
      <c r="P18" s="29">
        <f>P15+P17</f>
        <v/>
      </c>
      <c r="Q18" s="29">
        <f>Q15+Q17</f>
        <v/>
      </c>
      <c r="R18" s="29">
        <f>R15+R17</f>
        <v/>
      </c>
      <c r="S18" s="29">
        <f>S15+S17</f>
        <v/>
      </c>
      <c r="T18" s="29">
        <f>T15+T17</f>
        <v/>
      </c>
      <c r="U18" s="29">
        <f>U15+U17</f>
        <v/>
      </c>
      <c r="V18" s="29">
        <f>V15+V17</f>
        <v/>
      </c>
      <c r="W18" s="29">
        <f>W15+W17</f>
        <v/>
      </c>
      <c r="X18" s="29">
        <f>X15+X17</f>
        <v/>
      </c>
      <c r="Y18" s="29">
        <f>Y15+Y17</f>
        <v/>
      </c>
      <c r="Z18" s="29">
        <f>Z15+Z17</f>
        <v/>
      </c>
      <c r="AA18" s="29">
        <f>AA15+AA17</f>
        <v/>
      </c>
      <c r="AB18" s="29">
        <f>AB15+AB17</f>
        <v/>
      </c>
      <c r="AC18" s="29">
        <f>AC15+AC17</f>
        <v/>
      </c>
      <c r="AD18" s="29">
        <f>AD15+AD17</f>
        <v/>
      </c>
      <c r="AE18" s="29">
        <f>AE15+AE17</f>
        <v/>
      </c>
      <c r="AF18" s="29">
        <f>AF15+AF17</f>
        <v/>
      </c>
      <c r="AG18" s="29">
        <f>AG15+AG17</f>
        <v/>
      </c>
      <c r="AH18" s="29">
        <f>AH15+AH17</f>
        <v/>
      </c>
      <c r="AI18" s="29">
        <f>AI15+AI17</f>
        <v/>
      </c>
      <c r="AJ18" s="29">
        <f>AJ15+AJ17</f>
        <v/>
      </c>
      <c r="AK18" s="29">
        <f>AK15+AK17</f>
        <v/>
      </c>
    </row>
    <row r="19">
      <c r="A19" s="8" t="inlineStr">
        <is>
          <t>Cumulative cash</t>
        </is>
      </c>
      <c r="B19" s="7">
        <f>B18</f>
        <v/>
      </c>
      <c r="C19" s="7">
        <f>C18+B19</f>
        <v/>
      </c>
      <c r="D19" s="7">
        <f>D18+C19</f>
        <v/>
      </c>
      <c r="E19" s="7">
        <f>E18+D19</f>
        <v/>
      </c>
      <c r="F19" s="7">
        <f>F18+E19</f>
        <v/>
      </c>
      <c r="G19" s="7">
        <f>G18+F19</f>
        <v/>
      </c>
      <c r="H19" s="7">
        <f>H18+G19</f>
        <v/>
      </c>
      <c r="I19" s="7">
        <f>I18+H19</f>
        <v/>
      </c>
      <c r="J19" s="7">
        <f>J18+I19</f>
        <v/>
      </c>
      <c r="K19" s="7">
        <f>K18+J19</f>
        <v/>
      </c>
      <c r="L19" s="7">
        <f>L18+K19</f>
        <v/>
      </c>
      <c r="M19" s="7">
        <f>M18+L19</f>
        <v/>
      </c>
      <c r="N19" s="7">
        <f>N18+M19</f>
        <v/>
      </c>
      <c r="O19" s="7">
        <f>O18+N19</f>
        <v/>
      </c>
      <c r="P19" s="7">
        <f>P18+O19</f>
        <v/>
      </c>
      <c r="Q19" s="7">
        <f>Q18+P19</f>
        <v/>
      </c>
      <c r="R19" s="7">
        <f>R18+Q19</f>
        <v/>
      </c>
      <c r="S19" s="7">
        <f>S18+R19</f>
        <v/>
      </c>
      <c r="T19" s="7">
        <f>T18+S19</f>
        <v/>
      </c>
      <c r="U19" s="7">
        <f>U18+T19</f>
        <v/>
      </c>
      <c r="V19" s="7">
        <f>V18+U19</f>
        <v/>
      </c>
      <c r="W19" s="7">
        <f>W18+V19</f>
        <v/>
      </c>
      <c r="X19" s="7">
        <f>X18+W19</f>
        <v/>
      </c>
      <c r="Y19" s="7">
        <f>Y18+X19</f>
        <v/>
      </c>
      <c r="Z19" s="7">
        <f>Z18+Y19</f>
        <v/>
      </c>
      <c r="AA19" s="7">
        <f>AA18+Z19</f>
        <v/>
      </c>
      <c r="AB19" s="7">
        <f>AB18+AA19</f>
        <v/>
      </c>
      <c r="AC19" s="7">
        <f>AC18+AB19</f>
        <v/>
      </c>
      <c r="AD19" s="7">
        <f>AD18+AC19</f>
        <v/>
      </c>
      <c r="AE19" s="7">
        <f>AE18+AD19</f>
        <v/>
      </c>
      <c r="AF19" s="7">
        <f>AF18+AE19</f>
        <v/>
      </c>
      <c r="AG19" s="7">
        <f>AG18+AF19</f>
        <v/>
      </c>
      <c r="AH19" s="7">
        <f>AH18+AG19</f>
        <v/>
      </c>
      <c r="AI19" s="7">
        <f>AI18+AH19</f>
        <v/>
      </c>
      <c r="AJ19" s="7">
        <f>AJ18+AI19</f>
        <v/>
      </c>
      <c r="AK19" s="7">
        <f>AK18+AJ19</f>
        <v/>
      </c>
    </row>
    <row r="20">
      <c r="A20" s="5" t="inlineStr">
        <is>
          <t>Helper: month if EBITDA &gt; 0</t>
        </is>
      </c>
      <c r="B20" s="28">
        <f>IF(B15&gt;0,B$3,"")</f>
        <v/>
      </c>
      <c r="C20" s="28">
        <f>IF(C15&gt;0,C$3,"")</f>
        <v/>
      </c>
      <c r="D20" s="28">
        <f>IF(D15&gt;0,D$3,"")</f>
        <v/>
      </c>
      <c r="E20" s="28">
        <f>IF(E15&gt;0,E$3,"")</f>
        <v/>
      </c>
      <c r="F20" s="28">
        <f>IF(F15&gt;0,F$3,"")</f>
        <v/>
      </c>
      <c r="G20" s="28">
        <f>IF(G15&gt;0,G$3,"")</f>
        <v/>
      </c>
      <c r="H20" s="28">
        <f>IF(H15&gt;0,H$3,"")</f>
        <v/>
      </c>
      <c r="I20" s="28">
        <f>IF(I15&gt;0,I$3,"")</f>
        <v/>
      </c>
      <c r="J20" s="28">
        <f>IF(J15&gt;0,J$3,"")</f>
        <v/>
      </c>
      <c r="K20" s="28">
        <f>IF(K15&gt;0,K$3,"")</f>
        <v/>
      </c>
      <c r="L20" s="28">
        <f>IF(L15&gt;0,L$3,"")</f>
        <v/>
      </c>
      <c r="M20" s="28">
        <f>IF(M15&gt;0,M$3,"")</f>
        <v/>
      </c>
      <c r="N20" s="28">
        <f>IF(N15&gt;0,N$3,"")</f>
        <v/>
      </c>
      <c r="O20" s="28">
        <f>IF(O15&gt;0,O$3,"")</f>
        <v/>
      </c>
      <c r="P20" s="28">
        <f>IF(P15&gt;0,P$3,"")</f>
        <v/>
      </c>
      <c r="Q20" s="28">
        <f>IF(Q15&gt;0,Q$3,"")</f>
        <v/>
      </c>
      <c r="R20" s="28">
        <f>IF(R15&gt;0,R$3,"")</f>
        <v/>
      </c>
      <c r="S20" s="28">
        <f>IF(S15&gt;0,S$3,"")</f>
        <v/>
      </c>
      <c r="T20" s="28">
        <f>IF(T15&gt;0,T$3,"")</f>
        <v/>
      </c>
      <c r="U20" s="28">
        <f>IF(U15&gt;0,U$3,"")</f>
        <v/>
      </c>
      <c r="V20" s="28">
        <f>IF(V15&gt;0,V$3,"")</f>
        <v/>
      </c>
      <c r="W20" s="28">
        <f>IF(W15&gt;0,W$3,"")</f>
        <v/>
      </c>
      <c r="X20" s="28">
        <f>IF(X15&gt;0,X$3,"")</f>
        <v/>
      </c>
      <c r="Y20" s="28">
        <f>IF(Y15&gt;0,Y$3,"")</f>
        <v/>
      </c>
      <c r="Z20" s="28">
        <f>IF(Z15&gt;0,Z$3,"")</f>
        <v/>
      </c>
      <c r="AA20" s="28">
        <f>IF(AA15&gt;0,AA$3,"")</f>
        <v/>
      </c>
      <c r="AB20" s="28">
        <f>IF(AB15&gt;0,AB$3,"")</f>
        <v/>
      </c>
      <c r="AC20" s="28">
        <f>IF(AC15&gt;0,AC$3,"")</f>
        <v/>
      </c>
      <c r="AD20" s="28">
        <f>IF(AD15&gt;0,AD$3,"")</f>
        <v/>
      </c>
      <c r="AE20" s="28">
        <f>IF(AE15&gt;0,AE$3,"")</f>
        <v/>
      </c>
      <c r="AF20" s="28">
        <f>IF(AF15&gt;0,AF$3,"")</f>
        <v/>
      </c>
      <c r="AG20" s="28">
        <f>IF(AG15&gt;0,AG$3,"")</f>
        <v/>
      </c>
      <c r="AH20" s="28">
        <f>IF(AH15&gt;0,AH$3,"")</f>
        <v/>
      </c>
      <c r="AI20" s="28">
        <f>IF(AI15&gt;0,AI$3,"")</f>
        <v/>
      </c>
      <c r="AJ20" s="28">
        <f>IF(AJ15&gt;0,AJ$3,"")</f>
        <v/>
      </c>
      <c r="AK20" s="28">
        <f>IF(AK15&gt;0,AK$3,"")</f>
        <v/>
      </c>
    </row>
    <row r="21">
      <c r="A21" s="3" t="inlineStr">
        <is>
          <t>Attrition training = monthly leavers (staffed × attrition ÷ 12) plus new seats, × training cost. Note: the billed-seat ramp in row 4 is an example – replace with your pipeline.</t>
        </is>
      </c>
      <c r="B21" s="28">
        <f>IF(AND(B19&gt;=0,B$3&gt;Dashboard!$B$16),B$3,"")</f>
        <v/>
      </c>
      <c r="C21" s="28">
        <f>IF(AND(C19&gt;=0,C$3&gt;Dashboard!$B$16),C$3,"")</f>
        <v/>
      </c>
      <c r="D21" s="28">
        <f>IF(AND(D19&gt;=0,D$3&gt;Dashboard!$B$16),D$3,"")</f>
        <v/>
      </c>
      <c r="E21" s="28">
        <f>IF(AND(E19&gt;=0,E$3&gt;Dashboard!$B$16),E$3,"")</f>
        <v/>
      </c>
      <c r="F21" s="28">
        <f>IF(AND(F19&gt;=0,F$3&gt;Dashboard!$B$16),F$3,"")</f>
        <v/>
      </c>
      <c r="G21" s="28">
        <f>IF(AND(G19&gt;=0,G$3&gt;Dashboard!$B$16),G$3,"")</f>
        <v/>
      </c>
      <c r="H21" s="28">
        <f>IF(AND(H19&gt;=0,H$3&gt;Dashboard!$B$16),H$3,"")</f>
        <v/>
      </c>
      <c r="I21" s="28">
        <f>IF(AND(I19&gt;=0,I$3&gt;Dashboard!$B$16),I$3,"")</f>
        <v/>
      </c>
      <c r="J21" s="28">
        <f>IF(AND(J19&gt;=0,J$3&gt;Dashboard!$B$16),J$3,"")</f>
        <v/>
      </c>
      <c r="K21" s="28">
        <f>IF(AND(K19&gt;=0,K$3&gt;Dashboard!$B$16),K$3,"")</f>
        <v/>
      </c>
      <c r="L21" s="28">
        <f>IF(AND(L19&gt;=0,L$3&gt;Dashboard!$B$16),L$3,"")</f>
        <v/>
      </c>
      <c r="M21" s="28">
        <f>IF(AND(M19&gt;=0,M$3&gt;Dashboard!$B$16),M$3,"")</f>
        <v/>
      </c>
      <c r="N21" s="28">
        <f>IF(AND(N19&gt;=0,N$3&gt;Dashboard!$B$16),N$3,"")</f>
        <v/>
      </c>
      <c r="O21" s="28">
        <f>IF(AND(O19&gt;=0,O$3&gt;Dashboard!$B$16),O$3,"")</f>
        <v/>
      </c>
      <c r="P21" s="28">
        <f>IF(AND(P19&gt;=0,P$3&gt;Dashboard!$B$16),P$3,"")</f>
        <v/>
      </c>
      <c r="Q21" s="28">
        <f>IF(AND(Q19&gt;=0,Q$3&gt;Dashboard!$B$16),Q$3,"")</f>
        <v/>
      </c>
      <c r="R21" s="28">
        <f>IF(AND(R19&gt;=0,R$3&gt;Dashboard!$B$16),R$3,"")</f>
        <v/>
      </c>
      <c r="S21" s="28">
        <f>IF(AND(S19&gt;=0,S$3&gt;Dashboard!$B$16),S$3,"")</f>
        <v/>
      </c>
      <c r="T21" s="28">
        <f>IF(AND(T19&gt;=0,T$3&gt;Dashboard!$B$16),T$3,"")</f>
        <v/>
      </c>
      <c r="U21" s="28">
        <f>IF(AND(U19&gt;=0,U$3&gt;Dashboard!$B$16),U$3,"")</f>
        <v/>
      </c>
      <c r="V21" s="28">
        <f>IF(AND(V19&gt;=0,V$3&gt;Dashboard!$B$16),V$3,"")</f>
        <v/>
      </c>
      <c r="W21" s="28">
        <f>IF(AND(W19&gt;=0,W$3&gt;Dashboard!$B$16),W$3,"")</f>
        <v/>
      </c>
      <c r="X21" s="28">
        <f>IF(AND(X19&gt;=0,X$3&gt;Dashboard!$B$16),X$3,"")</f>
        <v/>
      </c>
      <c r="Y21" s="28">
        <f>IF(AND(Y19&gt;=0,Y$3&gt;Dashboard!$B$16),Y$3,"")</f>
        <v/>
      </c>
      <c r="Z21" s="28">
        <f>IF(AND(Z19&gt;=0,Z$3&gt;Dashboard!$B$16),Z$3,"")</f>
        <v/>
      </c>
      <c r="AA21" s="28">
        <f>IF(AND(AA19&gt;=0,AA$3&gt;Dashboard!$B$16),AA$3,"")</f>
        <v/>
      </c>
      <c r="AB21" s="28">
        <f>IF(AND(AB19&gt;=0,AB$3&gt;Dashboard!$B$16),AB$3,"")</f>
        <v/>
      </c>
      <c r="AC21" s="28">
        <f>IF(AND(AC19&gt;=0,AC$3&gt;Dashboard!$B$16),AC$3,"")</f>
        <v/>
      </c>
      <c r="AD21" s="28">
        <f>IF(AND(AD19&gt;=0,AD$3&gt;Dashboard!$B$16),AD$3,"")</f>
        <v/>
      </c>
      <c r="AE21" s="28">
        <f>IF(AND(AE19&gt;=0,AE$3&gt;Dashboard!$B$16),AE$3,"")</f>
        <v/>
      </c>
      <c r="AF21" s="28">
        <f>IF(AND(AF19&gt;=0,AF$3&gt;Dashboard!$B$16),AF$3,"")</f>
        <v/>
      </c>
      <c r="AG21" s="28">
        <f>IF(AND(AG19&gt;=0,AG$3&gt;Dashboard!$B$16),AG$3,"")</f>
        <v/>
      </c>
      <c r="AH21" s="28">
        <f>IF(AND(AH19&gt;=0,AH$3&gt;Dashboard!$B$16),AH$3,"")</f>
        <v/>
      </c>
      <c r="AI21" s="28">
        <f>IF(AND(AI19&gt;=0,AI$3&gt;Dashboard!$B$16),AI$3,"")</f>
        <v/>
      </c>
      <c r="AJ21" s="28">
        <f>IF(AND(AJ19&gt;=0,AJ$3&gt;Dashboard!$B$16),AJ$3,"")</f>
        <v/>
      </c>
      <c r="AK21" s="28">
        <f>IF(AND(AK19&gt;=0,AK$3&gt;Dashboard!$B$16),AK$3,"")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2026-10-02T19:55:44Z</dcterms:created>
  <dcterms:modified xsi:type="dcterms:W3CDTF">2026-10-02T19:55:44Z</dcterms:modified>
</cp:coreProperties>
</file>